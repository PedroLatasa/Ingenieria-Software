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00000000-0000-0000-0000-000000000000}"/>
  <workbookPr filterPrivacy="1" codeName="ThisWorkbook"/>
  <xr:revisionPtr revIDLastSave="0" documentId="8_{A29B450A-9989-4AE5-A93F-9F22D825AFCB}" xr6:coauthVersionLast="47" xr6:coauthVersionMax="47" xr10:uidLastSave="{00000000-0000-0000-0000-000000000000}"/>
  <bookViews>
    <workbookView xWindow="-120" yWindow="-120" windowWidth="29040" windowHeight="15840" xr2:uid="{00000000-000D-0000-FFFF-FFFF00000000}"/>
  </bookViews>
  <sheets>
    <sheet name="ProjectSchedule" sheetId="11" r:id="rId1"/>
    <sheet name="Team" sheetId="13" r:id="rId2"/>
  </sheets>
  <definedNames>
    <definedName name="hoy" localSheetId="0">TODAY()</definedName>
    <definedName name="Inicio_del_proyecto">ProjectSchedule!$E$3</definedName>
    <definedName name="Semana_para_mostrar">ProjectSchedule!$E$4</definedName>
    <definedName name="task_end" localSheetId="0">ProjectSchedule!$F1</definedName>
    <definedName name="task_progress" localSheetId="0">ProjectSchedule!$D1</definedName>
    <definedName name="task_start" localSheetId="0">ProjectSchedule!$E1</definedName>
    <definedName name="_xlnm.Print_Titles" localSheetId="0">ProjectSchedule!$4:$6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14" i="11" l="1"/>
  <c r="E22" i="11" s="1"/>
  <c r="F22" i="11" s="1"/>
  <c r="E29" i="11" s="1"/>
  <c r="F29" i="11" s="1"/>
  <c r="E30" i="11" s="1"/>
  <c r="F30" i="11" s="1"/>
  <c r="E17" i="11" s="1"/>
  <c r="F17" i="11" s="1"/>
  <c r="E31" i="11" s="1"/>
  <c r="F31" i="11" s="1"/>
  <c r="E21" i="11"/>
  <c r="F21" i="11" s="1"/>
  <c r="F13" i="11"/>
  <c r="F12" i="11"/>
  <c r="H7" i="11"/>
  <c r="E37" i="11" l="1"/>
  <c r="E3" i="11"/>
  <c r="E9" i="11" s="1"/>
  <c r="F37" i="11" l="1"/>
  <c r="E32" i="11" s="1"/>
  <c r="F32" i="11" s="1"/>
  <c r="E18" i="11"/>
  <c r="F18" i="11" s="1"/>
  <c r="E33" i="11" s="1"/>
  <c r="F33" i="11" s="1"/>
  <c r="E19" i="11" s="1"/>
  <c r="F19" i="11" s="1"/>
  <c r="E39" i="11" s="1"/>
  <c r="F39" i="11" s="1"/>
  <c r="E40" i="11" s="1"/>
  <c r="F40" i="11" s="1"/>
  <c r="E34" i="11" s="1"/>
  <c r="F34" i="11" s="1"/>
  <c r="I5" i="11"/>
  <c r="H38" i="11"/>
  <c r="H35" i="11"/>
  <c r="H20" i="11"/>
  <c r="H8" i="11"/>
  <c r="I6" i="11" l="1"/>
  <c r="H9" i="11" l="1"/>
  <c r="H11" i="11"/>
  <c r="H21" i="11"/>
  <c r="H14" i="11"/>
  <c r="J5" i="11"/>
  <c r="K5" i="11" s="1"/>
  <c r="L5" i="11" s="1"/>
  <c r="M5" i="11" s="1"/>
  <c r="N5" i="11" s="1"/>
  <c r="O5" i="11" s="1"/>
  <c r="P5" i="11" s="1"/>
  <c r="I4" i="11"/>
  <c r="H22" i="11" l="1"/>
  <c r="E23" i="11"/>
  <c r="H12" i="11"/>
  <c r="H13" i="11"/>
  <c r="P4" i="11"/>
  <c r="Q5" i="11"/>
  <c r="R5" i="11" s="1"/>
  <c r="S5" i="11" s="1"/>
  <c r="T5" i="11" s="1"/>
  <c r="U5" i="11" s="1"/>
  <c r="V5" i="11" s="1"/>
  <c r="W5" i="11" s="1"/>
  <c r="J6" i="11"/>
  <c r="F23" i="11" l="1"/>
  <c r="E15" i="11" s="1"/>
  <c r="F15" i="11" s="1"/>
  <c r="E26" i="11" s="1"/>
  <c r="F26" i="11" s="1"/>
  <c r="E27" i="11" s="1"/>
  <c r="F27" i="11" s="1"/>
  <c r="E28" i="11" s="1"/>
  <c r="F28" i="11" s="1"/>
  <c r="W4" i="11"/>
  <c r="X5" i="11"/>
  <c r="Y5" i="11" s="1"/>
  <c r="Z5" i="11" s="1"/>
  <c r="AA5" i="11" s="1"/>
  <c r="AB5" i="11" s="1"/>
  <c r="AC5" i="11" s="1"/>
  <c r="AD5" i="11" s="1"/>
  <c r="K6" i="11"/>
  <c r="H23" i="11" l="1"/>
  <c r="E16" i="11"/>
  <c r="F16" i="11" s="1"/>
  <c r="E24" i="11" s="1"/>
  <c r="E36" i="11"/>
  <c r="AE5" i="11"/>
  <c r="AF5" i="11" s="1"/>
  <c r="AG5" i="11" s="1"/>
  <c r="AH5" i="11" s="1"/>
  <c r="AI5" i="11" s="1"/>
  <c r="AJ5" i="11" s="1"/>
  <c r="AD4" i="11"/>
  <c r="L6" i="11"/>
  <c r="F36" i="11" l="1"/>
  <c r="H36" i="11" s="1"/>
  <c r="F24" i="11"/>
  <c r="H24" i="11" s="1"/>
  <c r="AK5" i="11"/>
  <c r="AL5" i="11" s="1"/>
  <c r="AM5" i="11" s="1"/>
  <c r="AN5" i="11" s="1"/>
  <c r="AO5" i="11" s="1"/>
  <c r="AP5" i="11" s="1"/>
  <c r="AQ5" i="11" s="1"/>
  <c r="M6" i="11"/>
  <c r="E25" i="11" l="1"/>
  <c r="AR5" i="11"/>
  <c r="AS5" i="11" s="1"/>
  <c r="AK4" i="11"/>
  <c r="N6" i="11"/>
  <c r="H40" i="11" l="1"/>
  <c r="H37" i="11"/>
  <c r="F25" i="11"/>
  <c r="H25" i="11" s="1"/>
  <c r="AT5" i="11"/>
  <c r="AS6" i="11"/>
  <c r="AR4" i="11"/>
  <c r="O6" i="11"/>
  <c r="AT6" i="11" l="1"/>
  <c r="H39" i="11" l="1"/>
  <c r="P6" i="11"/>
  <c r="R6" i="11" l="1"/>
  <c r="S6" i="11" l="1"/>
  <c r="AR6" i="11"/>
  <c r="AU5" i="11" s="1"/>
  <c r="AV5" i="11" s="1"/>
  <c r="AQ6" i="11"/>
  <c r="AP6" i="11"/>
  <c r="AO6" i="11"/>
  <c r="AN6" i="11"/>
  <c r="AM6" i="11"/>
  <c r="AL6" i="11"/>
  <c r="AK6" i="11"/>
  <c r="AJ6" i="11"/>
  <c r="AI6" i="11"/>
  <c r="AH6" i="11"/>
  <c r="AG6" i="11"/>
  <c r="AF6" i="11"/>
  <c r="AE6" i="11"/>
  <c r="AD6" i="11"/>
  <c r="AC6" i="11"/>
  <c r="AB6" i="11"/>
  <c r="AA6" i="11"/>
  <c r="Z6" i="11"/>
  <c r="Y6" i="11"/>
  <c r="X6" i="11"/>
  <c r="W6" i="11"/>
  <c r="V6" i="11"/>
  <c r="U6" i="11"/>
  <c r="T6" i="11"/>
  <c r="Q6" i="11"/>
  <c r="AW5" i="11" l="1"/>
  <c r="AX5" i="11" s="1"/>
  <c r="AV6" i="11"/>
  <c r="AU6" i="11"/>
  <c r="AW6" i="11" l="1"/>
  <c r="AY5" i="11"/>
  <c r="AZ5" i="11" l="1"/>
  <c r="AY6" i="11"/>
  <c r="AY4" i="11"/>
  <c r="AX6" i="11" s="1"/>
  <c r="BA5" i="11" l="1"/>
  <c r="AZ6" i="11"/>
  <c r="BB5" i="11" l="1"/>
  <c r="BA6" i="11"/>
  <c r="BB6" i="11" l="1"/>
  <c r="BC5" i="11"/>
  <c r="BD5" i="11" l="1"/>
  <c r="BC6" i="11"/>
  <c r="BE5" i="11" l="1"/>
  <c r="BD6" i="11"/>
  <c r="BF5" i="11" l="1"/>
  <c r="BF4" i="11" l="1"/>
  <c r="BE6" i="11" s="1"/>
  <c r="BF6" i="11"/>
  <c r="BG5" i="11"/>
  <c r="BG6" i="11" l="1"/>
  <c r="BH5" i="11"/>
  <c r="BI5" i="11" l="1"/>
  <c r="BH6" i="11"/>
  <c r="BJ5" i="11" l="1"/>
  <c r="BI6" i="11"/>
  <c r="BK5" i="11" l="1"/>
  <c r="BJ6" i="11"/>
  <c r="BL5" i="11" l="1"/>
  <c r="BK6" i="11"/>
  <c r="BL6" i="11" l="1"/>
  <c r="BM5" i="11"/>
  <c r="BN5" i="11" l="1"/>
  <c r="BM4" i="11"/>
  <c r="BM6" i="11"/>
  <c r="BN6" i="11" l="1"/>
  <c r="BO5" i="11"/>
  <c r="BO6" i="11" l="1"/>
  <c r="BP5" i="11"/>
  <c r="BP6" i="11" l="1"/>
  <c r="BQ5" i="11"/>
  <c r="BQ6" i="11" l="1"/>
  <c r="BR5" i="11"/>
  <c r="BR6" i="11" l="1"/>
  <c r="BS5" i="11"/>
  <c r="BS6" i="11" l="1"/>
  <c r="BT5" i="11"/>
  <c r="BT4" i="11" l="1"/>
  <c r="BU5" i="11"/>
  <c r="BT6" i="11"/>
  <c r="BU6" i="11" l="1"/>
  <c r="BV5" i="11"/>
  <c r="BW5" i="11" l="1"/>
  <c r="BV6" i="11"/>
  <c r="BW6" i="11" l="1"/>
  <c r="BX5" i="11"/>
  <c r="BX6" i="11" l="1"/>
  <c r="BY5" i="11"/>
  <c r="BY6" i="11" l="1"/>
  <c r="BZ5" i="11"/>
  <c r="BZ6" i="11" l="1"/>
  <c r="CA5" i="11"/>
  <c r="CA4" i="11" l="1"/>
  <c r="CA6" i="11"/>
  <c r="CB5" i="11"/>
  <c r="CB6" i="11" l="1"/>
  <c r="CC5" i="11"/>
  <c r="CC6" i="11" l="1"/>
  <c r="CD5" i="11"/>
  <c r="CE5" i="11" l="1"/>
  <c r="CD6" i="11"/>
  <c r="CE6" i="11" l="1"/>
  <c r="CF5" i="11"/>
  <c r="CG5" i="11" l="1"/>
  <c r="CF6" i="11"/>
  <c r="CG6" i="11" l="1"/>
  <c r="CH5" i="11"/>
  <c r="CH6" i="11" l="1"/>
  <c r="CI5" i="11"/>
  <c r="CH4" i="11"/>
  <c r="CI6" i="11" l="1"/>
  <c r="CJ5" i="11"/>
  <c r="CK5" i="11" l="1"/>
  <c r="CJ6" i="11"/>
  <c r="CK6" i="11" l="1"/>
  <c r="CL5" i="11"/>
  <c r="CL6" i="11" l="1"/>
  <c r="CM5" i="11"/>
  <c r="CM6" i="11" l="1"/>
  <c r="CN5" i="11"/>
  <c r="CN6" i="11" l="1"/>
  <c r="CO5" i="11"/>
  <c r="CP5" i="11" l="1"/>
  <c r="CO4" i="11"/>
  <c r="CO6" i="11"/>
  <c r="CQ5" i="11" l="1"/>
  <c r="CP6" i="11"/>
  <c r="CQ6" i="11" l="1"/>
  <c r="CR5" i="11"/>
  <c r="CR6" i="11" l="1"/>
  <c r="CS5" i="11"/>
  <c r="CS6" i="11" l="1"/>
  <c r="CT5" i="11"/>
  <c r="CT6" i="11" l="1"/>
  <c r="CU5" i="11"/>
  <c r="CU6" i="11" l="1"/>
  <c r="CV5" i="11"/>
  <c r="CV6" i="11" l="1"/>
  <c r="CV4" i="11"/>
  <c r="CW5" i="11"/>
  <c r="CW6" i="11" l="1"/>
  <c r="CX5" i="11"/>
  <c r="CX6" i="11" l="1"/>
  <c r="CY5" i="11"/>
  <c r="CY6" i="11" l="1"/>
  <c r="CZ5" i="11"/>
  <c r="DA5" i="11" l="1"/>
  <c r="CZ6" i="11"/>
  <c r="DA6" i="11" l="1"/>
  <c r="DB5" i="11"/>
  <c r="DB6" i="11" l="1"/>
  <c r="DC5" i="11"/>
  <c r="DC4" i="11" l="1"/>
  <c r="DD5" i="11"/>
  <c r="DC6" i="11"/>
  <c r="DE5" i="11" l="1"/>
  <c r="DD6" i="11"/>
  <c r="DF5" i="11" l="1"/>
  <c r="DE6" i="11"/>
  <c r="DG5" i="11" l="1"/>
  <c r="DF6" i="11"/>
  <c r="DG6" i="11" l="1"/>
  <c r="DH5" i="11"/>
  <c r="DH6" i="11" l="1"/>
  <c r="DI5" i="11"/>
  <c r="DI6" i="11" l="1"/>
  <c r="DJ5" i="11"/>
  <c r="DK5" i="11" l="1"/>
  <c r="DJ4" i="11"/>
  <c r="DJ6" i="11"/>
  <c r="DL5" i="11" l="1"/>
  <c r="DK6" i="11"/>
  <c r="DL6" i="11" l="1"/>
  <c r="DM5" i="11"/>
  <c r="DM6" i="11" l="1"/>
  <c r="DN5" i="11"/>
  <c r="DN6" i="11" l="1"/>
  <c r="DO5" i="11"/>
  <c r="DO6" i="11" l="1"/>
  <c r="DP5" i="11"/>
  <c r="DP6" i="11" l="1"/>
  <c r="DQ5" i="11"/>
  <c r="DQ4" i="11" l="1"/>
  <c r="DQ6" i="11"/>
  <c r="DR5" i="11"/>
  <c r="DR6" i="11" l="1"/>
  <c r="DS5" i="11"/>
  <c r="DS6" i="11" l="1"/>
  <c r="DT5" i="11"/>
  <c r="DT6" i="11" l="1"/>
  <c r="DU5" i="11"/>
  <c r="DU6" i="11" l="1"/>
  <c r="DV5" i="11"/>
  <c r="DV6" i="11" l="1"/>
  <c r="DW5" i="11"/>
  <c r="DW6" i="11" l="1"/>
  <c r="DX5" i="11"/>
  <c r="DX4" i="11" l="1"/>
  <c r="DX6" i="11"/>
  <c r="DY5" i="11"/>
  <c r="DY6" i="11" l="1"/>
  <c r="DZ5" i="11"/>
  <c r="DZ6" i="11" l="1"/>
  <c r="EA5" i="11"/>
  <c r="EA6" i="11" l="1"/>
  <c r="EB5" i="11"/>
  <c r="EB6" i="11" l="1"/>
  <c r="EC5" i="11"/>
  <c r="ED5" i="11" l="1"/>
  <c r="EC6" i="11"/>
  <c r="ED6" i="11" l="1"/>
  <c r="EE5" i="11"/>
  <c r="EF5" i="11" l="1"/>
  <c r="EE4" i="11"/>
  <c r="EE6" i="11"/>
  <c r="EG5" i="11" l="1"/>
  <c r="EF6" i="11"/>
  <c r="EH5" i="11" l="1"/>
  <c r="EG6" i="11"/>
  <c r="EH6" i="11" l="1"/>
  <c r="EI5" i="11"/>
  <c r="EJ5" i="11" l="1"/>
  <c r="EI6" i="11"/>
  <c r="EJ6" i="11" l="1"/>
  <c r="EK5" i="11"/>
  <c r="EK6" i="11" l="1"/>
  <c r="EL5" i="11"/>
  <c r="EM5" i="11" l="1"/>
  <c r="EL6" i="11"/>
  <c r="EL4" i="11"/>
  <c r="EN5" i="11" l="1"/>
  <c r="EM6" i="11"/>
  <c r="EO5" i="11" l="1"/>
  <c r="EN6" i="11"/>
  <c r="EP5" i="11" l="1"/>
  <c r="EO6" i="11"/>
  <c r="EP6" i="11" l="1"/>
  <c r="EQ5" i="11"/>
  <c r="EQ6" i="11" l="1"/>
  <c r="ER5" i="11"/>
  <c r="ER6" i="11" l="1"/>
  <c r="ES5" i="11"/>
  <c r="ET5" i="11" l="1"/>
  <c r="ES4" i="11"/>
  <c r="ES6" i="11"/>
  <c r="EU5" i="11" l="1"/>
  <c r="ET6" i="11"/>
  <c r="EU6" i="11" l="1"/>
  <c r="EV5" i="11"/>
  <c r="EV6" i="11" l="1"/>
  <c r="EW5" i="11"/>
  <c r="EW6" i="11" l="1"/>
  <c r="EX5" i="11"/>
  <c r="EX6" i="11" l="1"/>
  <c r="EY5" i="11"/>
  <c r="EY6" i="11" l="1"/>
  <c r="EZ5" i="11"/>
  <c r="FA5" i="11" l="1"/>
  <c r="EZ4" i="11"/>
  <c r="EZ6" i="11"/>
  <c r="FA6" i="11" l="1"/>
  <c r="FB5" i="11"/>
  <c r="FC5" i="11" l="1"/>
  <c r="FB6" i="11"/>
  <c r="FD5" i="11" l="1"/>
  <c r="FC6" i="11"/>
  <c r="FD6" i="11" l="1"/>
  <c r="FE5" i="11"/>
  <c r="FE6" i="11" l="1"/>
  <c r="FF5" i="11"/>
  <c r="FF6" i="11" s="1"/>
</calcChain>
</file>

<file path=xl/sharedStrings.xml><?xml version="1.0" encoding="utf-8"?>
<sst xmlns="http://schemas.openxmlformats.org/spreadsheetml/2006/main" count="229" uniqueCount="156">
  <si>
    <t>Cree una programación para un proyecto en esta hoja de cálculo.
Escriba el título de este proyecto en la celda B1. 
Para obtener información sobre cómo usar esta hoja de cálculo, incluidas las instrucciones para lectores de pantalla y el nombre del autor de este libro, vea la hoja de cálculo Información.
Desplácese hacia abajo por la columna A para escuchar más instrucciones.</t>
  </si>
  <si>
    <t>TÍTULO DEL PROYECTO</t>
  </si>
  <si>
    <t>Escriba el nombre de la compañía en la celda B2.</t>
  </si>
  <si>
    <t>CUNEF</t>
  </si>
  <si>
    <t>Escriba el nombre del responsable del proyecto en la celda B3. Escriba la fecha de comienzo del proyecto en la celda E3. Inicio del proyecto: la etiqueta se encuentra en la celda C3.</t>
  </si>
  <si>
    <t>Responsable del proyecto</t>
  </si>
  <si>
    <t>Inicio del proyecto:</t>
  </si>
  <si>
    <t>La semana que se muestra en la celda E4 representa la semana inicial para mostrar en la programación del proyecto en la celda I4. La fecha de inicio del proyecto se considera la semana 1. Para cambiar semana que se muestra, simplemente escriba un número de semana nuevo en la celda E4.
La fecha de inicio de cada semana, comenzando por la semana mostrada en la celda E4, comienza en la celda I4 y se calcula automáticamente. Hay 8 semanas representadas en esta vista desde la celda I4 hasta la celda BF4.
No debería modificar estas celdas.
La etiqueta de la semana para mostrar se encuentra en la celda C4.</t>
  </si>
  <si>
    <t>Semana para mostrar:</t>
  </si>
  <si>
    <t>Las celdas I5 a BL5 contienen el número de días de la semana representado en el bloque de celdas encima de cada celda de fecha y se calculan automáticamente.
No debería modificar estas celdas.
La fecha actual está rodeada con una línea roja (hex. AD3815) desde la fecha actual en la fila 5 hasta toda la columna de fechas y el fin de la programación del proyecto.</t>
  </si>
  <si>
    <t>Esta fila contiene los encabezados de la programación del proyecto posterior debajo de estos. 
Navegue desde la celda B6 a BL 6 para escuchar el contenido. La primera letra de cada día de la semana de la fecha encima de ese encabezado empieza en la celda I6 y continúa hasta la celda BL6.
Todo el gráficos de escala de tiempo del proyecto está generados automáticamente en función de las fechas de inicio y finalización especificadas, con formatos condicionales.
No modifique el contenido de las celdas en las columnas después de la columna I comenzando por la celda I7.</t>
  </si>
  <si>
    <t>TAREA</t>
  </si>
  <si>
    <t>ASIGNADO
A</t>
  </si>
  <si>
    <t>PROGRESO</t>
  </si>
  <si>
    <t>INICIO</t>
  </si>
  <si>
    <t>FIN</t>
  </si>
  <si>
    <t>DÍAS</t>
  </si>
  <si>
    <t xml:space="preserve">No elimine esta fila. Esta fila está oculta para conservar una fórmula que se usa para resaltar el día actual dentro de la programación del proyecto. </t>
  </si>
  <si>
    <t>La celda B8 contiene el título de ejemplo de la Fase 1. 
Escriba un nuevo título en la celda B8.
Escriba un nombre para asignar la fase, si se aplica para el proyecto, en la celda C8.
Escriba el progreso de la fase completa, si se aplica para el proyecto, en la celda D8.
Escriba las fechas de inicio y finalización de la fase completa, si se aplica para el proyecto, en las celdas E8 y F8. 
El gráfico de Gantt rellena automáticamente las fechas adecuadas y aplica un sombreado según el progreso especificado.
Para eliminar la fase y trabajar solo con las tareas, elimine esta fila.</t>
  </si>
  <si>
    <t>DOJ+EIA</t>
  </si>
  <si>
    <t xml:space="preserve">La celda B9 contiene la tarea de ejemplo "Tarea 1". 
Escriba un nuevo nombre de tarea en la celda B9.
Escriba una persona a la que asignar la tarea en la celda C9.
Escriba el progreso de la tarea en la celda D9. Aparece una barra de progreso en la celda y se sombrea según el número de la celda. Por ejemplo, un progreso del 50 por ciento aplicaría sombreado a la mitad de la celda.
Escriba la fecha de inicio de la tarea en la celda E9.
Escriba la fecha de finalización de la tarea en la celda F9.
Aparece una barra de estado con sombreado para las fechas especificadas en bloques comenzando desde la celda I9 hasta la BL9. </t>
  </si>
  <si>
    <t>Las filas de la 10 a la 13 repiten el patrón de la fila 9. 
Repita las instrucciones de la celda A9 para todas las filas de tareas en esta hoja de cálculo. Sobrescriba los datos de ejemplo.
Un ejemplo de otra fase empieza en la celda A14. 
Continue escribiendo tareas en las celdas de la A10 a la A13 o vaya a la celda A14 para obtener más información.</t>
  </si>
  <si>
    <t>La celda a la derecha contiene el título de ejemplo de la Fase 2. 
Puede crear una nueva fase en cualquier momento en la columna B. Esta programación de proyecto no necesita fases. Para quitar la fase, basta con eliminar la fila.
Para crear un bloque de fase nuevo en esta fila, escriba un nuevo título en la celda a la derecha.
Para continuar agregando tareas a la fase anterior, escriba una nueva fila encima de esta y rellene los datos de la tarea como se explica en la celda A9.
Actualice los detalles de la fase en la celda a la derecha como se explica en la celda A8.
Continúe navegando por las celdas de la columna A para obtener más información.
Si no ha agregado nuevas filas en esta hoja de cálculo, verá que se han creado automáticamente 2 bloques de fase de ejemplo adicionales en las celdas B20 y B26. En caso contrario, desplácese por las celdas de la columna A para buscar los bloques adicionales. 
Repita las instrucciones de las celdas A8 y A9 cuando lo necesite.</t>
  </si>
  <si>
    <t>Bloque de título fase de ejemplo</t>
  </si>
  <si>
    <t>Rol</t>
  </si>
  <si>
    <t>Last, First Name</t>
  </si>
  <si>
    <t>Initials</t>
  </si>
  <si>
    <t>Rol Description</t>
  </si>
  <si>
    <t>Responsibilities / Duties</t>
  </si>
  <si>
    <t>Technical Team</t>
  </si>
  <si>
    <t>PROJECT MANAGER (PM)</t>
  </si>
  <si>
    <t>Doe, John</t>
  </si>
  <si>
    <t>DOJ</t>
  </si>
  <si>
    <t>A PM will ensure that there will be no changes incompatible with specifications. Define and control the approved Project Management Plan</t>
  </si>
  <si>
    <t>. Works on a higher level of abstraction and is responsible for a budget, risk, schedule and contract management
. They use different methodologies and SDLCs and are focused mainly on controlling the project.
. Plan time and SDLC tasks for the preparation of versions and releases according to the Project Roadmap
. Manage development iterations
. Coach and sync the development team
. Report on time/efforts and the delivered features
. Ensure efficient communication between the team and the Product Owner</t>
  </si>
  <si>
    <t xml:space="preserve"> </t>
  </si>
  <si>
    <t>PRODUCT OWNER (PO)</t>
  </si>
  <si>
    <t>Eisntein, Albert</t>
  </si>
  <si>
    <t>EIA</t>
  </si>
  <si>
    <t>The main work of the PO are to set the direction and prioritize. Since he or she represents the stakeholders, the PO must clearly communicate their interests to the development team.</t>
  </si>
  <si>
    <t>. Knowledge and expertise in the business domain
. A strong understanding of the product, its requirements and objectives
. The ability to remain fully involved in the process
. Competence in making decisions about prioritizing, accepting work, and identifying important features
. The ability to communicate decisions to the main decision-maker (if it’s not the PO themselves)
. The ability to convey information to the team (i.e., the ability to create good User Stories)
. Knowledge of how to communicate new requirements and keep old ones up to date
. Anticipate the future a next changes</t>
  </si>
  <si>
    <t>REQUIREMENT ANALYST (RA)</t>
  </si>
  <si>
    <t>The Analyst ensures that the requirements of the business clients are captured and documented correctly before a solution is developed and implemented. In some companies, this person might be called a Business Analyst, Business Systems Analyst, Systems Analyst or Requirements Analys</t>
  </si>
  <si>
    <t>. Assist in defining the project
. Gather requirements from business units or users
. Document technical and business requirements
. Verify that project deliverables meet the requirements
. Test solutions to validate objectives with the rest of team's members</t>
  </si>
  <si>
    <t>PROCESS ANALYST (PA)</t>
  </si>
  <si>
    <t>The process analyst leads and coordinates business use-case modeling by outlining and delimiting the organization being modeled; for example, establishing what business actors and business use cases exist and how they interact. The business process analyst is responsible for the business architecture. He/she is shown below as responsible for Artifact: Business Object Model because of this overall architectural responsibilit</t>
  </si>
  <si>
    <t>. Stakeholder Relationship Management
. Documentation, Training and Support
. Process Review and Enhancement</t>
  </si>
  <si>
    <t>TEST ANALYST (TA)</t>
  </si>
  <si>
    <t>The Test Analyst role is responsible for initially identifying and subsequently defining the required tests, monitoring the test coverage and evaluating the overall quality experienced when testing the Target Test Items. This role also involves specifying the required Test Data and evaluating the outcome of the testing conducted in each test cycle</t>
  </si>
  <si>
    <t>. Identifying the Target Test Items to be evaluated by the test effort
. Defining the appropriate tests required and any associated Test Data
. Gathering and managing the Test Data
. Evaluating the outcome of each test cycle</t>
  </si>
  <si>
    <t>SOFTWARE ARCHITECT (SA)</t>
  </si>
  <si>
    <t>SA studies and  chooses the tools, platforms, and coding standards for the project.   </t>
  </si>
  <si>
    <t>. Provide technical direction to the development team
. Plan the software’s features, layout the prioritization, design, and release
. Take ownership of the entire software development lifecycle</t>
  </si>
  <si>
    <t>FULL-STACK DEVELOPER (FSD)</t>
  </si>
  <si>
    <t>It’s a programmer not specialised in one specific area. Because of this, a full stack developer may appear less-advanced than a front-end or back-end developer.</t>
  </si>
  <si>
    <t>Broad range of knowledge and skills, they can implement a solution on every architectural layer of the system (view, business logic, database).
In less complex, demanding projects where costs play a huge role, a full stack developer is indispensable.</t>
  </si>
  <si>
    <t>FRONT-END DEVELOPER (FED)</t>
  </si>
  <si>
    <t>Front-end developers are the point of contact between the end client (user) and the delivered business solution (a system undergoing implementation)</t>
  </si>
  <si>
    <t>. Provide the best possible application reception by the user (interface responsiveness, content clarity)
. Responsible for proper communication with the business logic layer</t>
  </si>
  <si>
    <t>BACK-END DEVELOPER (BED)</t>
  </si>
  <si>
    <t>It’s a programmer focused mainly on developing business logic and data layers (data base modeling, queries and logical compents related to data)</t>
  </si>
  <si>
    <t>. Desing and create Data Base, Data Lake
. Building data queries, applications and components related to data
. Optimization of queries and algorithms</t>
  </si>
  <si>
    <t>TESTER (TE)</t>
  </si>
  <si>
    <t>Testers fulfil an otherwise necessary role in the QA team. They are responsible mainly for conducting manual tests, that is system verification by using it analogically, as opposed to how end users will operate it</t>
  </si>
  <si>
    <t>. Ensure that the solution meets the business requirements and that it is free of errors and defects.
. Implement tests and register results at all levels
. Redefine tests to improve software quality
. Propose alternative paths, boundary conditions, and exceptions which will help to eliminate as many existing errors as possible</t>
  </si>
  <si>
    <t>UI DESIGNER (UID)</t>
  </si>
  <si>
    <t>prepare, or design, the user interface. This means transferring content, style, graphics connected with a client or product to a system presentation layer</t>
  </si>
  <si>
    <t>. Desing and implement of incremental prototypes.
. Define a template of the application’s user interface
. Transfer to UX designer and FED programming interface requirements</t>
  </si>
  <si>
    <t>UX DESIGNER (UXD)</t>
  </si>
  <si>
    <t>The UX designer – whereby UX means User Experience – must make sure that end users will have the best possible experience while using an application.</t>
  </si>
  <si>
    <t>Such person-based work not only consists of analysing user behaviour. It also takes into consideration what the competition is doing, and continuously changing human-computer interaction methods.</t>
  </si>
  <si>
    <t>Stakeholder Team</t>
  </si>
  <si>
    <t>Steering Committee -Member 1</t>
  </si>
  <si>
    <t>These are the specific people or groups who have a stake, or an interest, in the outcome of the project. Normally stakeholders are from within the company, and could include internal clients, management, employees, administrators, etc. A project may also have external stakeholders, including suppliers, investors, community groups and government organizations</t>
  </si>
  <si>
    <t>A Steering Committee is a group of high-level stakeholders who are responsible for providing guidance on overall strategic direction. They do not take the place of a Sponsor, but help to spread the strategic input and buy-in to a larger portion of the organization. The Steering Committee is usually made up of organizational peers and is a combination of direct clients and indirect stakeholders. Some members on the Steering Committee may also sit on the Change Control Board.</t>
  </si>
  <si>
    <t>Steering Committee -Member 2</t>
  </si>
  <si>
    <t>Steering Committee -Member 3</t>
  </si>
  <si>
    <t>Steering Committee -Member 4</t>
  </si>
  <si>
    <t>Steering Committee -Member 5</t>
  </si>
  <si>
    <t>Subject Matter Expert (SME)</t>
  </si>
  <si>
    <t>A Subject Matter Expert (SME) has superior (expert) knowledge of a discipline, technology, product, business process or entire business area.</t>
  </si>
  <si>
    <t>User 1 (US1)</t>
  </si>
  <si>
    <t>These are the people who will actually use the deliverables of the project.</t>
  </si>
  <si>
    <t>These people may also be involved heavily in the project in activities such as defining business requirements. In other cases, they may not get involved until the testing process. Sometimes you want to specifically identify the user organization or the specific users of the solution and assign a formal set of responsibilities to them, like developing use cases or user scenarios based on the needs of the business requirements</t>
  </si>
  <si>
    <t>User 2 (US2)</t>
  </si>
  <si>
    <t>User 3 (US3)</t>
  </si>
  <si>
    <t>User 4 (US4)</t>
  </si>
  <si>
    <t>User 5 (US5)</t>
  </si>
  <si>
    <t>User 6 (US6)</t>
  </si>
  <si>
    <t>Latasa, Pedro</t>
  </si>
  <si>
    <t>LAP</t>
  </si>
  <si>
    <t>Chaves, Jacobo</t>
  </si>
  <si>
    <t>CHJ</t>
  </si>
  <si>
    <t>Ros, Eduardo</t>
  </si>
  <si>
    <t>ROE</t>
  </si>
  <si>
    <t>Martínez, Ana</t>
  </si>
  <si>
    <t>MAA</t>
  </si>
  <si>
    <t>Rodríguez, Gonzalo</t>
  </si>
  <si>
    <t>ROG</t>
  </si>
  <si>
    <t>Núñez, Samuel</t>
  </si>
  <si>
    <t>NUS</t>
  </si>
  <si>
    <t>Higuero, Ignacio</t>
  </si>
  <si>
    <t>HII</t>
  </si>
  <si>
    <t>Portanet, Ignacio</t>
  </si>
  <si>
    <t>POI</t>
  </si>
  <si>
    <t>Ripio, Marta</t>
  </si>
  <si>
    <t>RIM</t>
  </si>
  <si>
    <t>Lorenzo, Carlos</t>
  </si>
  <si>
    <t>LOC</t>
  </si>
  <si>
    <t>López, María</t>
  </si>
  <si>
    <t>LOM</t>
  </si>
  <si>
    <t>González, Laureano</t>
  </si>
  <si>
    <t>GOL</t>
  </si>
  <si>
    <t>Curci, Federico</t>
  </si>
  <si>
    <t>CUF</t>
  </si>
  <si>
    <t>Berná, Pablo</t>
  </si>
  <si>
    <t>BEP</t>
  </si>
  <si>
    <t>Ruiz, Jaime</t>
  </si>
  <si>
    <t>RUJ</t>
  </si>
  <si>
    <t>James, Michael</t>
  </si>
  <si>
    <t>JAM</t>
  </si>
  <si>
    <t>Jordan, Philip</t>
  </si>
  <si>
    <t>JOP</t>
  </si>
  <si>
    <t>PLANNING</t>
  </si>
  <si>
    <t>IMPLEMENTATION</t>
  </si>
  <si>
    <t>REVIEW</t>
  </si>
  <si>
    <t>RETROSPECT</t>
  </si>
  <si>
    <t>Tarea 1.1</t>
  </si>
  <si>
    <t>Tarea 1.2</t>
  </si>
  <si>
    <t>Tarea 2.1</t>
  </si>
  <si>
    <t>Tarea 2.2</t>
  </si>
  <si>
    <t>Tarea 2.3</t>
  </si>
  <si>
    <t>Tarea 2.4</t>
  </si>
  <si>
    <t>Tarea 3.1</t>
  </si>
  <si>
    <t>Tarea 3.2</t>
  </si>
  <si>
    <t>Tarea 4.1</t>
  </si>
  <si>
    <t>Tarea 4.2</t>
  </si>
  <si>
    <t>Tarea 5.1</t>
  </si>
  <si>
    <t>Tarea 5.2</t>
  </si>
  <si>
    <t>Tarea 6.1</t>
  </si>
  <si>
    <t>Tarea 6.2</t>
  </si>
  <si>
    <t>Tarea 7.1</t>
  </si>
  <si>
    <t>Tarea 7.2</t>
  </si>
  <si>
    <t>Tarea 7.3</t>
  </si>
  <si>
    <t>Tarea 8.1</t>
  </si>
  <si>
    <t>Tarea 8.2</t>
  </si>
  <si>
    <t>Tarea 9.1</t>
  </si>
  <si>
    <t>Tarea 9.2</t>
  </si>
  <si>
    <t>Tarea 10.1</t>
  </si>
  <si>
    <t>Tarea 10.2</t>
  </si>
  <si>
    <t>Tarea 10.3</t>
  </si>
  <si>
    <t>Tarea 10.4</t>
  </si>
  <si>
    <t>Tarea 10.5</t>
  </si>
  <si>
    <t>Tarea 11</t>
  </si>
  <si>
    <t>Tarea 12.1</t>
  </si>
  <si>
    <t>Tarea 12.2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</si>
</sst>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2" formatCode="_-* #,##0\ &quot;€&quot;_-;\-* #,##0\ &quot;€&quot;_-;_-* &quot;-&quot;\ &quot;€&quot;_-;_-@_-"/>
    <numFmt numFmtId="44" formatCode="_-* #,##0.00\ &quot;€&quot;_-;\-* #,##0.00\ &quot;€&quot;_-;_-* &quot;-&quot;??\ &quot;€&quot;_-;_-@_-"/>
    <numFmt numFmtId="164" formatCode="_(* #,##0_);_(* \(#,##0\);_(* &quot;-&quot;_);_(@_)"/>
    <numFmt numFmtId="165" formatCode="_(* #,##0.00_);_(* \(#,##0.00\);_(* &quot;-&quot;??_);_(@_)"/>
    <numFmt numFmtId="166" formatCode="d\-m\-yy;@"/>
    <numFmt numFmtId="167" formatCode="d"/>
    <numFmt numFmtId="168" formatCode="ddd\,\ yyyy\-mm\-dd;@"/>
    <numFmt numFmtId="169" formatCode="d\ &quot;de&quot;\ mmmm\ &quot;de&quot;\ yyyy"/>
  </numFmts>
  <fonts count="35" x14ac:knownFonts="1">
    <font>
      <sz val="11"/>
      <color theme="1"/>
      <name val="Calibri"/>
      <family val="2"/>
      <scheme val="minor"/>
    </font>
    <font>
      <b/>
      <sz val="20"/>
      <color theme="4" tint="-0.249977111117893"/>
      <name val="Calibri"/>
      <family val="2"/>
      <scheme val="major"/>
    </font>
    <font>
      <sz val="10"/>
      <name val="Calibri"/>
      <family val="2"/>
      <scheme val="minor"/>
    </font>
    <font>
      <u/>
      <sz val="11"/>
      <color indexed="12"/>
      <name val="Arial"/>
      <family val="2"/>
    </font>
    <font>
      <sz val="11"/>
      <name val="Calibri"/>
      <family val="2"/>
      <scheme val="minor"/>
    </font>
    <font>
      <b/>
      <sz val="11"/>
      <color theme="1"/>
      <name val="Calibri"/>
      <family val="2"/>
      <scheme val="minor"/>
    </font>
    <font>
      <b/>
      <sz val="9"/>
      <color theme="0"/>
      <name val="Calibri"/>
      <family val="2"/>
      <scheme val="minor"/>
    </font>
    <font>
      <sz val="11"/>
      <color theme="1"/>
      <name val="Calibri"/>
      <family val="2"/>
      <scheme val="minor"/>
    </font>
    <font>
      <sz val="14"/>
      <color theme="1"/>
      <name val="Calibri"/>
      <family val="2"/>
      <scheme val="minor"/>
    </font>
    <font>
      <sz val="9"/>
      <name val="Calibri"/>
      <family val="2"/>
      <scheme val="minor"/>
    </font>
    <font>
      <sz val="8"/>
      <color theme="0"/>
      <name val="Calibri"/>
      <family val="2"/>
      <scheme val="minor"/>
    </font>
    <font>
      <b/>
      <sz val="22"/>
      <color theme="1" tint="0.34998626667073579"/>
      <name val="Calibri"/>
      <family val="2"/>
      <scheme val="major"/>
    </font>
    <font>
      <b/>
      <sz val="11"/>
      <color theme="1" tint="0.499984740745262"/>
      <name val="Calibri"/>
      <family val="2"/>
      <scheme val="minor"/>
    </font>
    <font>
      <sz val="10"/>
      <color theme="1" tint="0.499984740745262"/>
      <name val="Arial"/>
      <family val="2"/>
    </font>
    <font>
      <sz val="11"/>
      <color theme="0"/>
      <name val="Calibri"/>
      <family val="2"/>
      <scheme val="minor"/>
    </font>
    <font>
      <b/>
      <sz val="11"/>
      <name val="Calibri"/>
      <family val="2"/>
      <scheme val="minor"/>
    </font>
    <font>
      <sz val="10"/>
      <name val="Arial"/>
      <family val="2"/>
    </font>
    <font>
      <u/>
      <sz val="11"/>
      <color theme="11"/>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u/>
      <sz val="11"/>
      <color theme="10"/>
      <name val="Calibri"/>
      <family val="2"/>
      <scheme val="minor"/>
    </font>
    <font>
      <sz val="11"/>
      <color rgb="FF000000"/>
      <name val="Calibri"/>
      <family val="2"/>
      <scheme val="minor"/>
    </font>
    <font>
      <b/>
      <sz val="14"/>
      <color theme="1"/>
      <name val="Calibri"/>
      <family val="2"/>
      <scheme val="minor"/>
    </font>
    <font>
      <sz val="8"/>
      <name val="Calibri"/>
      <family val="2"/>
      <scheme val="minor"/>
    </font>
    <font>
      <sz val="10"/>
      <color theme="1"/>
      <name val="Calibri"/>
      <family val="2"/>
      <scheme val="minor"/>
    </font>
    <font>
      <b/>
      <sz val="11"/>
      <color rgb="FFFF0000"/>
      <name val="Calibri"/>
      <family val="2"/>
      <scheme val="minor"/>
    </font>
  </fonts>
  <fills count="44">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1" tint="0.34998626667073579"/>
        <bgColor indexed="64"/>
      </patternFill>
    </fill>
    <fill>
      <patternFill patternType="solid">
        <fgColor theme="1" tint="0.34998626667073579"/>
        <bgColor theme="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7">
    <border>
      <left/>
      <right/>
      <top/>
      <bottom/>
      <diagonal/>
    </border>
    <border>
      <left/>
      <right/>
      <top style="thin">
        <color theme="0" tint="-0.34998626667073579"/>
      </top>
      <bottom/>
      <diagonal/>
    </border>
    <border>
      <left/>
      <right/>
      <top style="medium">
        <color theme="0" tint="-0.14996795556505021"/>
      </top>
      <bottom style="medium">
        <color theme="0" tint="-0.1499679555650502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style="thin">
        <color theme="0" tint="-0.34998626667073579"/>
      </right>
      <top/>
      <bottom style="medium">
        <color theme="0" tint="-0.14996795556505021"/>
      </bottom>
      <diagonal/>
    </border>
    <border>
      <left style="thin">
        <color theme="0" tint="-0.14993743705557422"/>
      </left>
      <right style="thin">
        <color theme="0" tint="-0.14993743705557422"/>
      </right>
      <top style="medium">
        <color theme="0" tint="-0.14996795556505021"/>
      </top>
      <bottom style="medium">
        <color theme="0" tint="-0.14996795556505021"/>
      </bottom>
      <diagonal/>
    </border>
    <border>
      <left/>
      <right/>
      <top/>
      <bottom style="thin">
        <color theme="0" tint="-0.34998626667073579"/>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55">
    <xf numFmtId="0" fontId="0" fillId="0" borderId="0"/>
    <xf numFmtId="0" fontId="3" fillId="0" borderId="0" applyNumberFormat="0" applyFill="0" applyBorder="0" applyAlignment="0" applyProtection="0">
      <alignment vertical="top"/>
      <protection locked="0"/>
    </xf>
    <xf numFmtId="9" fontId="7" fillId="0" borderId="0" applyFont="0" applyFill="0" applyBorder="0" applyAlignment="0" applyProtection="0"/>
    <xf numFmtId="0" fontId="14" fillId="0" borderId="0"/>
    <xf numFmtId="165" fontId="7" fillId="0" borderId="3" applyFont="0" applyFill="0" applyAlignment="0" applyProtection="0"/>
    <xf numFmtId="0" fontId="11" fillId="0" borderId="0" applyNumberFormat="0" applyFill="0" applyBorder="0" applyAlignment="0" applyProtection="0"/>
    <xf numFmtId="0" fontId="8" fillId="0" borderId="0" applyNumberFormat="0" applyFill="0" applyAlignment="0" applyProtection="0"/>
    <xf numFmtId="0" fontId="8" fillId="0" borderId="0" applyNumberFormat="0" applyFill="0" applyProtection="0">
      <alignment vertical="top"/>
    </xf>
    <xf numFmtId="0" fontId="7" fillId="0" borderId="0" applyNumberFormat="0" applyFill="0" applyProtection="0">
      <alignment horizontal="right" indent="1"/>
    </xf>
    <xf numFmtId="168" fontId="7" fillId="0" borderId="3">
      <alignment horizontal="center" vertical="center"/>
    </xf>
    <xf numFmtId="166" fontId="7" fillId="0" borderId="2" applyFill="0">
      <alignment horizontal="center" vertical="center"/>
    </xf>
    <xf numFmtId="0" fontId="7" fillId="0" borderId="2" applyFill="0">
      <alignment horizontal="center" vertical="center"/>
    </xf>
    <xf numFmtId="0" fontId="7" fillId="0" borderId="2" applyFill="0">
      <alignment horizontal="left" vertical="center" indent="2"/>
    </xf>
    <xf numFmtId="0" fontId="17" fillId="0" borderId="0" applyNumberFormat="0" applyFill="0" applyBorder="0" applyAlignment="0" applyProtection="0"/>
    <xf numFmtId="164" fontId="7" fillId="0" borderId="0" applyFont="0" applyFill="0" applyBorder="0" applyAlignment="0" applyProtection="0"/>
    <xf numFmtId="44" fontId="7" fillId="0" borderId="0" applyFont="0" applyFill="0" applyBorder="0" applyAlignment="0" applyProtection="0"/>
    <xf numFmtId="42" fontId="7" fillId="0" borderId="0" applyFont="0" applyFill="0" applyBorder="0" applyAlignment="0" applyProtection="0"/>
    <xf numFmtId="0" fontId="18" fillId="0" borderId="0" applyNumberFormat="0" applyFill="0" applyBorder="0" applyAlignment="0" applyProtection="0"/>
    <xf numFmtId="0" fontId="19" fillId="13" borderId="0" applyNumberFormat="0" applyBorder="0" applyAlignment="0" applyProtection="0"/>
    <xf numFmtId="0" fontId="20" fillId="14" borderId="0" applyNumberFormat="0" applyBorder="0" applyAlignment="0" applyProtection="0"/>
    <xf numFmtId="0" fontId="21" fillId="15" borderId="0" applyNumberFormat="0" applyBorder="0" applyAlignment="0" applyProtection="0"/>
    <xf numFmtId="0" fontId="22" fillId="16" borderId="11" applyNumberFormat="0" applyAlignment="0" applyProtection="0"/>
    <xf numFmtId="0" fontId="23" fillId="17" borderId="12" applyNumberFormat="0" applyAlignment="0" applyProtection="0"/>
    <xf numFmtId="0" fontId="24" fillId="17" borderId="11" applyNumberFormat="0" applyAlignment="0" applyProtection="0"/>
    <xf numFmtId="0" fontId="25" fillId="0" borderId="13" applyNumberFormat="0" applyFill="0" applyAlignment="0" applyProtection="0"/>
    <xf numFmtId="0" fontId="26" fillId="18" borderId="14" applyNumberFormat="0" applyAlignment="0" applyProtection="0"/>
    <xf numFmtId="0" fontId="27" fillId="0" borderId="0" applyNumberFormat="0" applyFill="0" applyBorder="0" applyAlignment="0" applyProtection="0"/>
    <xf numFmtId="0" fontId="7" fillId="19" borderId="15" applyNumberFormat="0" applyFont="0" applyAlignment="0" applyProtection="0"/>
    <xf numFmtId="0" fontId="28" fillId="0" borderId="0" applyNumberFormat="0" applyFill="0" applyBorder="0" applyAlignment="0" applyProtection="0"/>
    <xf numFmtId="0" fontId="5" fillId="0" borderId="16" applyNumberFormat="0" applyFill="0" applyAlignment="0" applyProtection="0"/>
    <xf numFmtId="0" fontId="14" fillId="20"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3" borderId="0" applyNumberFormat="0" applyBorder="0" applyAlignment="0" applyProtection="0"/>
    <xf numFmtId="0" fontId="14" fillId="24"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7" borderId="0" applyNumberFormat="0" applyBorder="0" applyAlignment="0" applyProtection="0"/>
    <xf numFmtId="0" fontId="14" fillId="28"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1" borderId="0" applyNumberFormat="0" applyBorder="0" applyAlignment="0" applyProtection="0"/>
    <xf numFmtId="0" fontId="14" fillId="32"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35" borderId="0" applyNumberFormat="0" applyBorder="0" applyAlignment="0" applyProtection="0"/>
    <xf numFmtId="0" fontId="14" fillId="36" borderId="0" applyNumberFormat="0" applyBorder="0" applyAlignment="0" applyProtection="0"/>
    <xf numFmtId="0" fontId="7" fillId="37" borderId="0" applyNumberFormat="0" applyBorder="0" applyAlignment="0" applyProtection="0"/>
    <xf numFmtId="0" fontId="7" fillId="38" borderId="0" applyNumberFormat="0" applyBorder="0" applyAlignment="0" applyProtection="0"/>
    <xf numFmtId="0" fontId="7" fillId="39" borderId="0" applyNumberFormat="0" applyBorder="0" applyAlignment="0" applyProtection="0"/>
    <xf numFmtId="0" fontId="14" fillId="40" borderId="0" applyNumberFormat="0" applyBorder="0" applyAlignment="0" applyProtection="0"/>
    <xf numFmtId="0" fontId="7" fillId="41" borderId="0" applyNumberFormat="0" applyBorder="0" applyAlignment="0" applyProtection="0"/>
    <xf numFmtId="0" fontId="7" fillId="42" borderId="0" applyNumberFormat="0" applyBorder="0" applyAlignment="0" applyProtection="0"/>
    <xf numFmtId="0" fontId="7" fillId="43" borderId="0" applyNumberFormat="0" applyBorder="0" applyAlignment="0" applyProtection="0"/>
    <xf numFmtId="0" fontId="29" fillId="0" borderId="0" applyNumberFormat="0" applyFill="0" applyBorder="0" applyAlignment="0" applyProtection="0"/>
  </cellStyleXfs>
  <cellXfs count="77">
    <xf numFmtId="0" fontId="0" fillId="0" borderId="0" xfId="0"/>
    <xf numFmtId="0" fontId="1" fillId="0" borderId="0" xfId="0" applyFont="1" applyAlignment="1">
      <alignment horizontal="left"/>
    </xf>
    <xf numFmtId="0" fontId="2" fillId="0" borderId="0" xfId="0" applyFont="1"/>
    <xf numFmtId="0" fontId="0" fillId="0" borderId="0" xfId="0" applyAlignment="1">
      <alignment vertical="center"/>
    </xf>
    <xf numFmtId="0" fontId="2" fillId="0" borderId="0" xfId="0" applyFont="1" applyAlignment="1">
      <alignment horizontal="center"/>
    </xf>
    <xf numFmtId="0" fontId="0" fillId="0" borderId="0" xfId="0" applyAlignment="1">
      <alignment horizontal="center"/>
    </xf>
    <xf numFmtId="0" fontId="0" fillId="0" borderId="0" xfId="0" applyAlignment="1">
      <alignment horizontal="right" vertical="center"/>
    </xf>
    <xf numFmtId="0" fontId="0" fillId="0" borderId="3" xfId="0" applyBorder="1" applyAlignment="1">
      <alignment horizontal="center" vertical="center"/>
    </xf>
    <xf numFmtId="0" fontId="6" fillId="12" borderId="1" xfId="0" applyFont="1" applyFill="1" applyBorder="1" applyAlignment="1">
      <alignment horizontal="left" vertical="center" indent="1"/>
    </xf>
    <xf numFmtId="0" fontId="6" fillId="12" borderId="1" xfId="0" applyFont="1" applyFill="1" applyBorder="1" applyAlignment="1">
      <alignment horizontal="center" vertical="center" wrapText="1"/>
    </xf>
    <xf numFmtId="0" fontId="10" fillId="11" borderId="8" xfId="0" applyFont="1" applyFill="1" applyBorder="1" applyAlignment="1">
      <alignment horizontal="center" vertical="center" shrinkToFit="1"/>
    </xf>
    <xf numFmtId="0" fontId="12" fillId="0" borderId="0" xfId="0" applyFont="1"/>
    <xf numFmtId="0" fontId="13" fillId="0" borderId="0" xfId="1" applyFont="1" applyAlignment="1" applyProtection="1"/>
    <xf numFmtId="0" fontId="4" fillId="0" borderId="2" xfId="0" applyFont="1" applyBorder="1" applyAlignment="1">
      <alignment horizontal="center" vertical="center"/>
    </xf>
    <xf numFmtId="0" fontId="5" fillId="7" borderId="2" xfId="0" applyFont="1" applyFill="1" applyBorder="1" applyAlignment="1">
      <alignment horizontal="left" vertical="center" indent="1"/>
    </xf>
    <xf numFmtId="9" fontId="4" fillId="7" borderId="2" xfId="2" applyFont="1" applyFill="1" applyBorder="1" applyAlignment="1">
      <alignment horizontal="center" vertical="center"/>
    </xf>
    <xf numFmtId="9" fontId="4" fillId="2" borderId="2" xfId="2" applyFont="1" applyFill="1" applyBorder="1" applyAlignment="1">
      <alignment horizontal="center" vertical="center"/>
    </xf>
    <xf numFmtId="0" fontId="5" fillId="8" borderId="2" xfId="0" applyFont="1" applyFill="1" applyBorder="1" applyAlignment="1">
      <alignment horizontal="left" vertical="center" indent="1"/>
    </xf>
    <xf numFmtId="9" fontId="4" fillId="8" borderId="2" xfId="2" applyFont="1" applyFill="1" applyBorder="1" applyAlignment="1">
      <alignment horizontal="center" vertical="center"/>
    </xf>
    <xf numFmtId="9" fontId="4" fillId="3" borderId="2" xfId="2" applyFont="1" applyFill="1" applyBorder="1" applyAlignment="1">
      <alignment horizontal="center" vertical="center"/>
    </xf>
    <xf numFmtId="0" fontId="5" fillId="5" borderId="2" xfId="0" applyFont="1" applyFill="1" applyBorder="1" applyAlignment="1">
      <alignment horizontal="left" vertical="center" indent="1"/>
    </xf>
    <xf numFmtId="9" fontId="4" fillId="5" borderId="2" xfId="2" applyFont="1" applyFill="1" applyBorder="1" applyAlignment="1">
      <alignment horizontal="center" vertical="center"/>
    </xf>
    <xf numFmtId="9" fontId="4" fillId="10" borderId="2" xfId="2" applyFont="1" applyFill="1" applyBorder="1" applyAlignment="1">
      <alignment horizontal="center" vertical="center"/>
    </xf>
    <xf numFmtId="0" fontId="5" fillId="4" borderId="2" xfId="0" applyFont="1" applyFill="1" applyBorder="1" applyAlignment="1">
      <alignment horizontal="left" vertical="center" indent="1"/>
    </xf>
    <xf numFmtId="9" fontId="4" fillId="4" borderId="2" xfId="2" applyFont="1" applyFill="1" applyBorder="1" applyAlignment="1">
      <alignment horizontal="center" vertical="center"/>
    </xf>
    <xf numFmtId="9" fontId="4" fillId="9" borderId="2" xfId="2" applyFont="1" applyFill="1" applyBorder="1" applyAlignment="1">
      <alignment horizontal="center" vertical="center"/>
    </xf>
    <xf numFmtId="0" fontId="0" fillId="0" borderId="9" xfId="0" applyBorder="1" applyAlignment="1">
      <alignment vertical="center"/>
    </xf>
    <xf numFmtId="0" fontId="0" fillId="0" borderId="9" xfId="0" applyBorder="1" applyAlignment="1">
      <alignment horizontal="right" vertical="center"/>
    </xf>
    <xf numFmtId="0" fontId="2" fillId="0" borderId="0" xfId="0" applyFont="1" applyAlignment="1">
      <alignment horizontal="center" vertical="center"/>
    </xf>
    <xf numFmtId="0" fontId="14" fillId="0" borderId="0" xfId="3"/>
    <xf numFmtId="0" fontId="14" fillId="0" borderId="0" xfId="0" applyFont="1" applyAlignment="1">
      <alignment horizontal="center"/>
    </xf>
    <xf numFmtId="0" fontId="0" fillId="0" borderId="0" xfId="0" applyAlignment="1">
      <alignment wrapText="1"/>
    </xf>
    <xf numFmtId="0" fontId="11" fillId="0" borderId="0" xfId="5" applyAlignment="1">
      <alignment horizontal="left"/>
    </xf>
    <xf numFmtId="0" fontId="8" fillId="0" borderId="0" xfId="7">
      <alignment vertical="top"/>
    </xf>
    <xf numFmtId="0" fontId="7" fillId="2" borderId="2" xfId="12" applyFill="1">
      <alignment horizontal="left" vertical="center" indent="2"/>
    </xf>
    <xf numFmtId="0" fontId="7" fillId="3" borderId="2" xfId="12" applyFill="1">
      <alignment horizontal="left" vertical="center" indent="2"/>
    </xf>
    <xf numFmtId="0" fontId="7" fillId="10" borderId="2" xfId="12" applyFill="1">
      <alignment horizontal="left" vertical="center" indent="2"/>
    </xf>
    <xf numFmtId="0" fontId="7" fillId="9" borderId="2" xfId="12" applyFill="1">
      <alignment horizontal="left" vertical="center" indent="2"/>
    </xf>
    <xf numFmtId="0" fontId="0" fillId="0" borderId="10" xfId="0" applyBorder="1"/>
    <xf numFmtId="0" fontId="15" fillId="0" borderId="0" xfId="0" applyFont="1"/>
    <xf numFmtId="0" fontId="16" fillId="0" borderId="0" xfId="1" applyFont="1" applyProtection="1">
      <alignment vertical="top"/>
    </xf>
    <xf numFmtId="166" fontId="0" fillId="7" borderId="2" xfId="0" applyNumberFormat="1" applyFill="1" applyBorder="1" applyAlignment="1">
      <alignment horizontal="center" vertical="center"/>
    </xf>
    <xf numFmtId="166" fontId="4" fillId="7" borderId="2" xfId="0" applyNumberFormat="1" applyFont="1" applyFill="1" applyBorder="1" applyAlignment="1">
      <alignment horizontal="center" vertical="center"/>
    </xf>
    <xf numFmtId="166" fontId="7" fillId="2" borderId="2" xfId="10" applyFill="1">
      <alignment horizontal="center" vertical="center"/>
    </xf>
    <xf numFmtId="166" fontId="0" fillId="8" borderId="2" xfId="0" applyNumberFormat="1" applyFill="1" applyBorder="1" applyAlignment="1">
      <alignment horizontal="center" vertical="center"/>
    </xf>
    <xf numFmtId="166" fontId="4" fillId="8" borderId="2" xfId="0" applyNumberFormat="1" applyFont="1" applyFill="1" applyBorder="1" applyAlignment="1">
      <alignment horizontal="center" vertical="center"/>
    </xf>
    <xf numFmtId="166" fontId="7" fillId="3" borderId="2" xfId="10" applyFill="1">
      <alignment horizontal="center" vertical="center"/>
    </xf>
    <xf numFmtId="166" fontId="0" fillId="5" borderId="2" xfId="0" applyNumberFormat="1" applyFill="1" applyBorder="1" applyAlignment="1">
      <alignment horizontal="center" vertical="center"/>
    </xf>
    <xf numFmtId="166" fontId="4" fillId="5" borderId="2" xfId="0" applyNumberFormat="1" applyFont="1" applyFill="1" applyBorder="1" applyAlignment="1">
      <alignment horizontal="center" vertical="center"/>
    </xf>
    <xf numFmtId="166" fontId="7" fillId="10" borderId="2" xfId="10" applyFill="1">
      <alignment horizontal="center" vertical="center"/>
    </xf>
    <xf numFmtId="166" fontId="0" fillId="4" borderId="2" xfId="0" applyNumberFormat="1" applyFill="1" applyBorder="1" applyAlignment="1">
      <alignment horizontal="center" vertical="center"/>
    </xf>
    <xf numFmtId="166" fontId="4" fillId="4" borderId="2" xfId="0" applyNumberFormat="1" applyFont="1" applyFill="1" applyBorder="1" applyAlignment="1">
      <alignment horizontal="center" vertical="center"/>
    </xf>
    <xf numFmtId="166" fontId="7" fillId="9" borderId="2" xfId="10" applyFill="1">
      <alignment horizontal="center" vertical="center"/>
    </xf>
    <xf numFmtId="167" fontId="9" fillId="6" borderId="6" xfId="0" applyNumberFormat="1" applyFont="1" applyFill="1" applyBorder="1" applyAlignment="1">
      <alignment horizontal="center" vertical="center"/>
    </xf>
    <xf numFmtId="167" fontId="9" fillId="6" borderId="0" xfId="0" applyNumberFormat="1" applyFont="1" applyFill="1" applyAlignment="1">
      <alignment horizontal="center" vertical="center"/>
    </xf>
    <xf numFmtId="167" fontId="9" fillId="6" borderId="7" xfId="0" applyNumberFormat="1" applyFont="1" applyFill="1" applyBorder="1" applyAlignment="1">
      <alignment horizontal="center" vertical="center"/>
    </xf>
    <xf numFmtId="49" fontId="14" fillId="0" borderId="0" xfId="3" applyNumberFormat="1"/>
    <xf numFmtId="49" fontId="30" fillId="0" borderId="0" xfId="3" applyNumberFormat="1" applyFont="1" applyAlignment="1">
      <alignment wrapText="1"/>
    </xf>
    <xf numFmtId="49" fontId="30" fillId="0" borderId="0" xfId="3" applyNumberFormat="1" applyFont="1"/>
    <xf numFmtId="0" fontId="31" fillId="0" borderId="0" xfId="6" applyFont="1"/>
    <xf numFmtId="0" fontId="0" fillId="0" borderId="0" xfId="0" applyAlignment="1">
      <alignment horizontal="center" vertical="center"/>
    </xf>
    <xf numFmtId="0" fontId="33" fillId="0" borderId="0" xfId="0" applyFont="1"/>
    <xf numFmtId="0" fontId="33" fillId="0" borderId="0" xfId="0" applyFont="1" applyAlignment="1">
      <alignment wrapText="1"/>
    </xf>
    <xf numFmtId="0" fontId="34" fillId="0" borderId="0" xfId="0" applyFont="1" applyAlignment="1">
      <alignment horizontal="center" vertical="center"/>
    </xf>
    <xf numFmtId="0" fontId="26" fillId="12" borderId="1" xfId="0" applyFont="1" applyFill="1" applyBorder="1" applyAlignment="1">
      <alignment horizontal="center" vertical="center" wrapText="1"/>
    </xf>
    <xf numFmtId="169" fontId="0" fillId="6" borderId="4" xfId="0" applyNumberFormat="1" applyFill="1" applyBorder="1" applyAlignment="1">
      <alignment horizontal="left" vertical="center" wrapText="1" indent="1"/>
    </xf>
    <xf numFmtId="169" fontId="0" fillId="6" borderId="1" xfId="0" applyNumberFormat="1" applyFill="1" applyBorder="1" applyAlignment="1">
      <alignment horizontal="left" vertical="center" wrapText="1" indent="1"/>
    </xf>
    <xf numFmtId="169" fontId="0" fillId="6" borderId="5" xfId="0" applyNumberFormat="1" applyFill="1" applyBorder="1" applyAlignment="1">
      <alignment horizontal="left" vertical="center" wrapText="1" indent="1"/>
    </xf>
    <xf numFmtId="168" fontId="7" fillId="0" borderId="3" xfId="9">
      <alignment horizontal="center" vertical="center"/>
    </xf>
    <xf numFmtId="0" fontId="7" fillId="0" borderId="0" xfId="8" applyAlignment="1">
      <alignment horizontal="right" vertical="center"/>
    </xf>
    <xf numFmtId="0" fontId="7" fillId="0" borderId="7" xfId="8" applyBorder="1" applyAlignment="1">
      <alignment horizontal="right" vertical="center"/>
    </xf>
    <xf numFmtId="0" fontId="7" fillId="0" borderId="0" xfId="8" applyAlignment="1">
      <alignment horizontal="right" vertical="center" indent="1"/>
    </xf>
    <xf numFmtId="0" fontId="7" fillId="0" borderId="7" xfId="8" applyBorder="1" applyAlignment="1">
      <alignment horizontal="right" vertical="center" indent="1"/>
    </xf>
    <xf numFmtId="0" fontId="7" fillId="2" borderId="2" xfId="12" applyFill="1" applyAlignment="1">
      <alignment horizontal="center" vertical="center"/>
    </xf>
    <xf numFmtId="166" fontId="7" fillId="3" borderId="2" xfId="10" applyFill="1" applyAlignment="1">
      <alignment horizontal="center" vertical="center" wrapText="1"/>
    </xf>
    <xf numFmtId="166" fontId="7" fillId="3" borderId="2" xfId="10" applyFill="1" applyAlignment="1">
      <alignment horizontal="center" vertical="center"/>
    </xf>
    <xf numFmtId="0" fontId="7" fillId="7" borderId="2" xfId="11" applyFill="1" applyAlignment="1">
      <alignment horizontal="center" vertical="center" wrapText="1"/>
    </xf>
  </cellXfs>
  <cellStyles count="55">
    <cellStyle name="20% - Énfasis1" xfId="31" builtinId="30" customBuiltin="1"/>
    <cellStyle name="20% - Énfasis2" xfId="35" builtinId="34" customBuiltin="1"/>
    <cellStyle name="20% - Énfasis3" xfId="39" builtinId="38" customBuiltin="1"/>
    <cellStyle name="20% - Énfasis4" xfId="43" builtinId="42" customBuiltin="1"/>
    <cellStyle name="20% - Énfasis5" xfId="47" builtinId="46" customBuiltin="1"/>
    <cellStyle name="20% - Énfasis6" xfId="51" builtinId="50" customBuiltin="1"/>
    <cellStyle name="40% - Énfasis1" xfId="32" builtinId="31" customBuiltin="1"/>
    <cellStyle name="40% - Énfasis2" xfId="36" builtinId="35" customBuiltin="1"/>
    <cellStyle name="40% - Énfasis3" xfId="40" builtinId="39" customBuiltin="1"/>
    <cellStyle name="40% - Énfasis4" xfId="44" builtinId="43" customBuiltin="1"/>
    <cellStyle name="40% - Énfasis5" xfId="48" builtinId="47" customBuiltin="1"/>
    <cellStyle name="40% - Énfasis6" xfId="52" builtinId="51" customBuiltin="1"/>
    <cellStyle name="60% - Énfasis1" xfId="33" builtinId="32" customBuiltin="1"/>
    <cellStyle name="60% - Énfasis2" xfId="37" builtinId="36" customBuiltin="1"/>
    <cellStyle name="60% - Énfasis3" xfId="41" builtinId="40" customBuiltin="1"/>
    <cellStyle name="60% - Énfasis4" xfId="45" builtinId="44" customBuiltin="1"/>
    <cellStyle name="60% - Énfasis5" xfId="49" builtinId="48" customBuiltin="1"/>
    <cellStyle name="60% - Énfasis6" xfId="53" builtinId="52" customBuiltin="1"/>
    <cellStyle name="Bueno" xfId="18" builtinId="26" customBuiltin="1"/>
    <cellStyle name="Cálculo" xfId="23" builtinId="22" customBuiltin="1"/>
    <cellStyle name="Celda de comprobación" xfId="25" builtinId="23" customBuiltin="1"/>
    <cellStyle name="Celda vinculada" xfId="24" builtinId="24" customBuiltin="1"/>
    <cellStyle name="Encabezado 1" xfId="6" builtinId="16" customBuiltin="1"/>
    <cellStyle name="Encabezado 4" xfId="17" builtinId="19" customBuiltin="1"/>
    <cellStyle name="Énfasis1" xfId="30" builtinId="29" customBuiltin="1"/>
    <cellStyle name="Énfasis2" xfId="34" builtinId="33" customBuiltin="1"/>
    <cellStyle name="Énfasis3" xfId="38" builtinId="37" customBuiltin="1"/>
    <cellStyle name="Énfasis4" xfId="42" builtinId="41" customBuiltin="1"/>
    <cellStyle name="Énfasis5" xfId="46" builtinId="45" customBuiltin="1"/>
    <cellStyle name="Énfasis6" xfId="50" builtinId="49" customBuiltin="1"/>
    <cellStyle name="Entrada" xfId="21" builtinId="20" customBuiltin="1"/>
    <cellStyle name="Fecha" xfId="10" xr:uid="{229918B6-DD13-4F5A-97B9-305F7E002AA3}"/>
    <cellStyle name="Hipervínculo" xfId="1" builtinId="8" customBuiltin="1"/>
    <cellStyle name="Hipervínculo visitado" xfId="13" builtinId="9" customBuiltin="1"/>
    <cellStyle name="Hyperlink" xfId="54" xr:uid="{00000000-000B-0000-0000-000008000000}"/>
    <cellStyle name="Incorrecto" xfId="19" builtinId="27" customBuiltin="1"/>
    <cellStyle name="Inicio del proyecto" xfId="9" xr:uid="{8EB8A09A-C31C-40A3-B2C1-9449520178B8}"/>
    <cellStyle name="Millares" xfId="4" builtinId="3" customBuiltin="1"/>
    <cellStyle name="Millares [0]" xfId="14" builtinId="6" customBuiltin="1"/>
    <cellStyle name="Moneda" xfId="15" builtinId="4" customBuiltin="1"/>
    <cellStyle name="Moneda [0]" xfId="16" builtinId="7" customBuiltin="1"/>
    <cellStyle name="Neutral" xfId="20" builtinId="28" customBuiltin="1"/>
    <cellStyle name="Nombre" xfId="11" xr:uid="{B2D3C1EE-6B41-4801-AAFC-C2274E49E503}"/>
    <cellStyle name="Normal" xfId="0" builtinId="0" customBuiltin="1"/>
    <cellStyle name="Notas" xfId="27" builtinId="10" customBuiltin="1"/>
    <cellStyle name="Porcentaje" xfId="2" builtinId="5" customBuiltin="1"/>
    <cellStyle name="Salida" xfId="22" builtinId="21" customBuiltin="1"/>
    <cellStyle name="Tarea" xfId="12" xr:uid="{6391D789-272B-4DD2-9BF3-2CDCF610FA41}"/>
    <cellStyle name="Texto de advertencia" xfId="26" builtinId="11" customBuiltin="1"/>
    <cellStyle name="Texto explicativo" xfId="28" builtinId="53" customBuiltin="1"/>
    <cellStyle name="Título" xfId="5" builtinId="15" customBuiltin="1"/>
    <cellStyle name="Título 2" xfId="7" builtinId="17" customBuiltin="1"/>
    <cellStyle name="Título 3" xfId="8" builtinId="18" customBuiltin="1"/>
    <cellStyle name="Total" xfId="29" builtinId="25" customBuiltin="1"/>
    <cellStyle name="zTextoOculto" xfId="3" xr:uid="{26E66EE6-E33F-4D77-BAE4-0FB4F5BBF673}"/>
  </cellStyles>
  <dxfs count="12">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border>
        <left style="thin">
          <color theme="0" tint="-0.24994659260841701"/>
        </left>
      </border>
    </dxf>
    <dxf>
      <border>
        <left style="thin">
          <color theme="0" tint="-0.24994659260841701"/>
        </left>
      </border>
    </dxf>
    <dxf>
      <border>
        <top style="thin">
          <color theme="4" tint="0.39994506668294322"/>
        </top>
      </border>
    </dxf>
    <dxf>
      <fill>
        <patternFill>
          <bgColor theme="0" tint="-4.9989318521683403E-2"/>
        </patternFill>
      </fill>
      <border>
        <top style="thin">
          <color theme="4" tint="0.39994506668294322"/>
        </top>
      </border>
    </dxf>
    <dxf>
      <font>
        <b/>
        <color theme="1"/>
      </font>
    </dxf>
    <dxf>
      <font>
        <b val="0"/>
        <i val="0"/>
        <color theme="1"/>
      </font>
      <border>
        <left style="thin">
          <color theme="4"/>
        </left>
      </border>
    </dxf>
    <dxf>
      <font>
        <b/>
        <color theme="1"/>
      </font>
      <border>
        <top style="double">
          <color theme="4"/>
        </top>
      </border>
    </dxf>
    <dxf>
      <font>
        <b/>
        <color theme="0"/>
      </font>
      <fill>
        <patternFill patternType="solid">
          <fgColor theme="4"/>
          <bgColor theme="4"/>
        </patternFill>
      </fill>
    </dxf>
    <dxf>
      <font>
        <color theme="1"/>
      </font>
      <border>
        <left style="thin">
          <color theme="4"/>
        </left>
        <right style="thin">
          <color theme="4"/>
        </right>
        <top style="thin">
          <color theme="4"/>
        </top>
        <bottom style="thin">
          <color theme="4"/>
        </bottom>
      </border>
    </dxf>
  </dxfs>
  <tableStyles count="1" defaultTableStyle="TableStyleMedium2" defaultPivotStyle="PivotStyleLight16">
    <tableStyle name="ListaTareasPendientes" pivot="0" count="9" xr9:uid="{00000000-0011-0000-FFFF-FFFF00000000}">
      <tableStyleElement type="wholeTable" dxfId="11"/>
      <tableStyleElement type="headerRow" dxfId="10"/>
      <tableStyleElement type="totalRow" dxfId="9"/>
      <tableStyleElement type="firstColumn" dxfId="8"/>
      <tableStyleElement type="lastColumn" dxfId="7"/>
      <tableStyleElement type="firstRowStripe" dxfId="6"/>
      <tableStyleElement type="secondRowStripe" dxfId="5"/>
      <tableStyleElement type="firstColumnStripe" dxfId="4"/>
      <tableStyleElement type="secondColumnStripe" dxfId="3"/>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5FF25F"/>
      <rgbColor rgb="000000FF"/>
      <rgbColor rgb="00FFFF00"/>
      <rgbColor rgb="00DE3018"/>
      <rgbColor rgb="0053D4C9"/>
      <rgbColor rgb="006B0C00"/>
      <rgbColor rgb="00006500"/>
      <rgbColor rgb="00182C63"/>
      <rgbColor rgb="00819C00"/>
      <rgbColor rgb="00C9B783"/>
      <rgbColor rgb="00007F74"/>
      <rgbColor rgb="00F0F0F0"/>
      <rgbColor rgb="00666666"/>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799FC4"/>
      <rgbColor rgb="00C1F1ED"/>
      <rgbColor rgb="00D6F4D9"/>
      <rgbColor rgb="00FFFFCC"/>
      <rgbColor rgb="00C9DAFB"/>
      <rgbColor rgb="00FAC8D7"/>
      <rgbColor rgb="00F3F0E4"/>
      <rgbColor rgb="00E4E8F3"/>
      <rgbColor rgb="001849B5"/>
      <rgbColor rgb="0036ACA2"/>
      <rgbColor rgb="00F0BA00"/>
      <rgbColor rgb="00BCC5E1"/>
      <rgbColor rgb="008394C9"/>
      <rgbColor rgb="003B4E87"/>
      <rgbColor rgb="0087743B"/>
      <rgbColor rgb="00C0C0C0"/>
      <rgbColor rgb="00003366"/>
      <rgbColor rgb="00109618"/>
      <rgbColor rgb="00085108"/>
      <rgbColor rgb="00635100"/>
      <rgbColor rgb="00273359"/>
      <rgbColor rgb="00E1D8BC"/>
      <rgbColor rgb="00594C27"/>
      <rgbColor rgb="00333333"/>
    </indexedColors>
    <mruColors>
      <color rgb="FF215881"/>
      <color rgb="FF42648A"/>
      <color rgb="FF969696"/>
      <color rgb="FFC0C0C0"/>
      <color rgb="FF427FC2"/>
      <color rgb="FF44678E"/>
      <color rgb="FF4A6F9C"/>
      <color rgb="FF3969AD"/>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10" Type="http://schemas.microsoft.com/office/2006/relationships/vbaProject" Target="vbaProject.bin"/><Relationship Id="rId4" Type="http://schemas.openxmlformats.org/officeDocument/2006/relationships/styles" Target="styles.xml"/><Relationship Id="rId9"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xdr:col>
      <xdr:colOff>23813</xdr:colOff>
      <xdr:row>0</xdr:row>
      <xdr:rowOff>357189</xdr:rowOff>
    </xdr:from>
    <xdr:to>
      <xdr:col>1</xdr:col>
      <xdr:colOff>940594</xdr:colOff>
      <xdr:row>1</xdr:row>
      <xdr:rowOff>734220</xdr:rowOff>
    </xdr:to>
    <xdr:pic>
      <xdr:nvPicPr>
        <xdr:cNvPr id="3" name="Imagen 2">
          <a:extLst>
            <a:ext uri="{FF2B5EF4-FFF2-40B4-BE49-F238E27FC236}">
              <a16:creationId xmlns:a16="http://schemas.microsoft.com/office/drawing/2014/main" id="{36F104CE-8B47-2A85-E72D-CDD0335E989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3813" y="357189"/>
          <a:ext cx="916781" cy="758031"/>
        </a:xfrm>
        <a:prstGeom prst="rect">
          <a:avLst/>
        </a:prstGeom>
      </xdr:spPr>
    </xdr:pic>
    <xdr:clientData/>
  </xdr:twoCellAnchor>
</xdr:wsDr>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FF43"/>
  <sheetViews>
    <sheetView showGridLines="0" tabSelected="1" showRuler="0" topLeftCell="B1" zoomScale="64" zoomScaleNormal="64" zoomScalePageLayoutView="70" workbookViewId="0">
      <pane ySplit="6" topLeftCell="A13" activePane="bottomLeft" state="frozen"/>
      <selection pane="bottomLeft" activeCell="C40" sqref="C40"/>
    </sheetView>
  </sheetViews>
  <sheetFormatPr baseColWidth="10" defaultColWidth="9.140625" defaultRowHeight="30" customHeight="1" x14ac:dyDescent="0.25"/>
  <cols>
    <col min="1" max="1" width="5.85546875" style="29" hidden="1" customWidth="1"/>
    <col min="2" max="2" width="29.7109375" customWidth="1"/>
    <col min="3" max="3" width="30.7109375" customWidth="1"/>
    <col min="4" max="4" width="14.140625" customWidth="1"/>
    <col min="5" max="5" width="10.42578125" style="5" customWidth="1"/>
    <col min="6" max="6" width="10.42578125" customWidth="1"/>
    <col min="7" max="7" width="3.140625" customWidth="1"/>
    <col min="8" max="8" width="6.140625" hidden="1" customWidth="1"/>
    <col min="9" max="13" width="3.140625" customWidth="1"/>
    <col min="14" max="14" width="3" bestFit="1" customWidth="1"/>
    <col min="15" max="15" width="3.85546875" customWidth="1"/>
    <col min="16" max="21" width="3.140625" customWidth="1"/>
    <col min="22" max="22" width="4.7109375" customWidth="1"/>
    <col min="23" max="28" width="3.140625" customWidth="1"/>
    <col min="29" max="29" width="5.7109375" customWidth="1"/>
    <col min="30" max="162" width="3.140625" customWidth="1"/>
  </cols>
  <sheetData>
    <row r="1" spans="1:162" ht="30" customHeight="1" x14ac:dyDescent="0.45">
      <c r="A1" s="57" t="s">
        <v>0</v>
      </c>
      <c r="B1" s="32" t="s">
        <v>1</v>
      </c>
      <c r="C1" s="1"/>
      <c r="D1" s="2"/>
      <c r="E1" s="4"/>
      <c r="F1" s="28"/>
      <c r="H1" s="2"/>
      <c r="I1" s="39"/>
    </row>
    <row r="2" spans="1:162" ht="62.25" customHeight="1" x14ac:dyDescent="0.3">
      <c r="A2" s="58" t="s">
        <v>2</v>
      </c>
      <c r="B2" s="59" t="s">
        <v>3</v>
      </c>
      <c r="I2" s="40"/>
    </row>
    <row r="3" spans="1:162" ht="30" customHeight="1" x14ac:dyDescent="0.25">
      <c r="A3" s="58" t="s">
        <v>4</v>
      </c>
      <c r="B3" s="33" t="s">
        <v>5</v>
      </c>
      <c r="C3" s="69" t="s">
        <v>6</v>
      </c>
      <c r="D3" s="70"/>
      <c r="E3" s="68">
        <f ca="1">TODAY()</f>
        <v>44994</v>
      </c>
      <c r="F3" s="68"/>
    </row>
    <row r="4" spans="1:162" ht="30" customHeight="1" x14ac:dyDescent="0.25">
      <c r="A4" s="57" t="s">
        <v>7</v>
      </c>
      <c r="C4" s="71" t="s">
        <v>8</v>
      </c>
      <c r="D4" s="72"/>
      <c r="E4" s="7">
        <v>1</v>
      </c>
      <c r="I4" s="65">
        <f ca="1">I5</f>
        <v>44991</v>
      </c>
      <c r="J4" s="66"/>
      <c r="K4" s="66"/>
      <c r="L4" s="66"/>
      <c r="M4" s="66"/>
      <c r="N4" s="66"/>
      <c r="O4" s="67"/>
      <c r="P4" s="65">
        <f ca="1">P5</f>
        <v>44998</v>
      </c>
      <c r="Q4" s="66"/>
      <c r="R4" s="66"/>
      <c r="S4" s="66"/>
      <c r="T4" s="66"/>
      <c r="U4" s="66"/>
      <c r="V4" s="67"/>
      <c r="W4" s="65">
        <f ca="1">W5</f>
        <v>45005</v>
      </c>
      <c r="X4" s="66"/>
      <c r="Y4" s="66"/>
      <c r="Z4" s="66"/>
      <c r="AA4" s="66"/>
      <c r="AB4" s="66"/>
      <c r="AC4" s="67"/>
      <c r="AD4" s="65">
        <f ca="1">AD5</f>
        <v>45012</v>
      </c>
      <c r="AE4" s="66"/>
      <c r="AF4" s="66"/>
      <c r="AG4" s="66"/>
      <c r="AH4" s="66"/>
      <c r="AI4" s="66"/>
      <c r="AJ4" s="67"/>
      <c r="AK4" s="65">
        <f ca="1">AK5</f>
        <v>45019</v>
      </c>
      <c r="AL4" s="66"/>
      <c r="AM4" s="66"/>
      <c r="AN4" s="66"/>
      <c r="AO4" s="66"/>
      <c r="AP4" s="66"/>
      <c r="AQ4" s="67"/>
      <c r="AR4" s="65">
        <f ca="1">AR5</f>
        <v>45026</v>
      </c>
      <c r="AS4" s="66"/>
      <c r="AT4" s="66"/>
      <c r="AU4" s="66"/>
      <c r="AV4" s="66"/>
      <c r="AW4" s="66"/>
      <c r="AX4" s="67"/>
      <c r="AY4" s="65">
        <f ca="1">AY5</f>
        <v>45033</v>
      </c>
      <c r="AZ4" s="66"/>
      <c r="BA4" s="66"/>
      <c r="BB4" s="66"/>
      <c r="BC4" s="66"/>
      <c r="BD4" s="66"/>
      <c r="BE4" s="67"/>
      <c r="BF4" s="65">
        <f ca="1">BF5</f>
        <v>45040</v>
      </c>
      <c r="BG4" s="66"/>
      <c r="BH4" s="66"/>
      <c r="BI4" s="66"/>
      <c r="BJ4" s="66"/>
      <c r="BK4" s="66"/>
      <c r="BL4" s="67"/>
      <c r="BM4" s="65">
        <f ca="1">BM5</f>
        <v>45047</v>
      </c>
      <c r="BN4" s="66"/>
      <c r="BO4" s="66"/>
      <c r="BP4" s="66"/>
      <c r="BQ4" s="66"/>
      <c r="BR4" s="66"/>
      <c r="BS4" s="67"/>
      <c r="BT4" s="65">
        <f ca="1">BT5</f>
        <v>45054</v>
      </c>
      <c r="BU4" s="66"/>
      <c r="BV4" s="66"/>
      <c r="BW4" s="66"/>
      <c r="BX4" s="66"/>
      <c r="BY4" s="66"/>
      <c r="BZ4" s="67"/>
      <c r="CA4" s="65">
        <f ca="1">CA5</f>
        <v>45061</v>
      </c>
      <c r="CB4" s="66"/>
      <c r="CC4" s="66"/>
      <c r="CD4" s="66"/>
      <c r="CE4" s="66"/>
      <c r="CF4" s="66"/>
      <c r="CG4" s="67"/>
      <c r="CH4" s="65">
        <f ca="1">CH5</f>
        <v>45068</v>
      </c>
      <c r="CI4" s="66"/>
      <c r="CJ4" s="66"/>
      <c r="CK4" s="66"/>
      <c r="CL4" s="66"/>
      <c r="CM4" s="66"/>
      <c r="CN4" s="67"/>
      <c r="CO4" s="65">
        <f ca="1">CO5</f>
        <v>45075</v>
      </c>
      <c r="CP4" s="66"/>
      <c r="CQ4" s="66"/>
      <c r="CR4" s="66"/>
      <c r="CS4" s="66"/>
      <c r="CT4" s="66"/>
      <c r="CU4" s="67"/>
      <c r="CV4" s="65">
        <f ca="1">CV5</f>
        <v>45082</v>
      </c>
      <c r="CW4" s="66"/>
      <c r="CX4" s="66"/>
      <c r="CY4" s="66"/>
      <c r="CZ4" s="66"/>
      <c r="DA4" s="66"/>
      <c r="DB4" s="67"/>
      <c r="DC4" s="65">
        <f ca="1">DC5</f>
        <v>45089</v>
      </c>
      <c r="DD4" s="66"/>
      <c r="DE4" s="66"/>
      <c r="DF4" s="66"/>
      <c r="DG4" s="66"/>
      <c r="DH4" s="66"/>
      <c r="DI4" s="67"/>
      <c r="DJ4" s="65">
        <f ca="1">DJ5</f>
        <v>45096</v>
      </c>
      <c r="DK4" s="66"/>
      <c r="DL4" s="66"/>
      <c r="DM4" s="66"/>
      <c r="DN4" s="66"/>
      <c r="DO4" s="66"/>
      <c r="DP4" s="67"/>
      <c r="DQ4" s="65">
        <f ca="1">DQ5</f>
        <v>45103</v>
      </c>
      <c r="DR4" s="66"/>
      <c r="DS4" s="66"/>
      <c r="DT4" s="66"/>
      <c r="DU4" s="66"/>
      <c r="DV4" s="66"/>
      <c r="DW4" s="67"/>
      <c r="DX4" s="65">
        <f ca="1">DX5</f>
        <v>45110</v>
      </c>
      <c r="DY4" s="66"/>
      <c r="DZ4" s="66"/>
      <c r="EA4" s="66"/>
      <c r="EB4" s="66"/>
      <c r="EC4" s="66"/>
      <c r="ED4" s="67"/>
      <c r="EE4" s="65">
        <f ca="1">EE5</f>
        <v>45117</v>
      </c>
      <c r="EF4" s="66"/>
      <c r="EG4" s="66"/>
      <c r="EH4" s="66"/>
      <c r="EI4" s="66"/>
      <c r="EJ4" s="66"/>
      <c r="EK4" s="67"/>
      <c r="EL4" s="65">
        <f ca="1">EL5</f>
        <v>45124</v>
      </c>
      <c r="EM4" s="66"/>
      <c r="EN4" s="66"/>
      <c r="EO4" s="66"/>
      <c r="EP4" s="66"/>
      <c r="EQ4" s="66"/>
      <c r="ER4" s="67"/>
      <c r="ES4" s="65">
        <f ca="1">ES5</f>
        <v>45131</v>
      </c>
      <c r="ET4" s="66"/>
      <c r="EU4" s="66"/>
      <c r="EV4" s="66"/>
      <c r="EW4" s="66"/>
      <c r="EX4" s="66"/>
      <c r="EY4" s="67"/>
      <c r="EZ4" s="65">
        <f ca="1">EZ5</f>
        <v>45138</v>
      </c>
      <c r="FA4" s="66"/>
      <c r="FB4" s="66"/>
      <c r="FC4" s="66"/>
      <c r="FD4" s="66"/>
      <c r="FE4" s="66"/>
      <c r="FF4" s="67"/>
    </row>
    <row r="5" spans="1:162" ht="15" customHeight="1" x14ac:dyDescent="0.25">
      <c r="A5" s="57" t="s">
        <v>9</v>
      </c>
      <c r="B5" s="38"/>
      <c r="C5" s="38"/>
      <c r="D5" s="38"/>
      <c r="E5" s="38"/>
      <c r="F5" s="38"/>
      <c r="G5" s="38"/>
      <c r="I5" s="53">
        <f ca="1">Inicio_del_proyecto-WEEKDAY(Inicio_del_proyecto,1)+2+7*(Semana_para_mostrar-1)</f>
        <v>44991</v>
      </c>
      <c r="J5" s="54">
        <f ca="1">I5+1</f>
        <v>44992</v>
      </c>
      <c r="K5" s="54">
        <f t="shared" ref="K5:AX5" ca="1" si="0">J5+1</f>
        <v>44993</v>
      </c>
      <c r="L5" s="54">
        <f t="shared" ca="1" si="0"/>
        <v>44994</v>
      </c>
      <c r="M5" s="54">
        <f t="shared" ca="1" si="0"/>
        <v>44995</v>
      </c>
      <c r="N5" s="54">
        <f t="shared" ca="1" si="0"/>
        <v>44996</v>
      </c>
      <c r="O5" s="55">
        <f t="shared" ca="1" si="0"/>
        <v>44997</v>
      </c>
      <c r="P5" s="53">
        <f ca="1">O5+1</f>
        <v>44998</v>
      </c>
      <c r="Q5" s="54">
        <f ca="1">P5+1</f>
        <v>44999</v>
      </c>
      <c r="R5" s="54">
        <f t="shared" ca="1" si="0"/>
        <v>45000</v>
      </c>
      <c r="S5" s="54">
        <f t="shared" ca="1" si="0"/>
        <v>45001</v>
      </c>
      <c r="T5" s="54">
        <f t="shared" ca="1" si="0"/>
        <v>45002</v>
      </c>
      <c r="U5" s="54">
        <f t="shared" ca="1" si="0"/>
        <v>45003</v>
      </c>
      <c r="V5" s="55">
        <f t="shared" ca="1" si="0"/>
        <v>45004</v>
      </c>
      <c r="W5" s="53">
        <f ca="1">V5+1</f>
        <v>45005</v>
      </c>
      <c r="X5" s="54">
        <f ca="1">W5+1</f>
        <v>45006</v>
      </c>
      <c r="Y5" s="54">
        <f t="shared" ca="1" si="0"/>
        <v>45007</v>
      </c>
      <c r="Z5" s="54">
        <f t="shared" ca="1" si="0"/>
        <v>45008</v>
      </c>
      <c r="AA5" s="54">
        <f t="shared" ca="1" si="0"/>
        <v>45009</v>
      </c>
      <c r="AB5" s="54">
        <f t="shared" ca="1" si="0"/>
        <v>45010</v>
      </c>
      <c r="AC5" s="55">
        <f t="shared" ca="1" si="0"/>
        <v>45011</v>
      </c>
      <c r="AD5" s="53">
        <f ca="1">AC5+1</f>
        <v>45012</v>
      </c>
      <c r="AE5" s="54">
        <f ca="1">AD5+1</f>
        <v>45013</v>
      </c>
      <c r="AF5" s="54">
        <f t="shared" ca="1" si="0"/>
        <v>45014</v>
      </c>
      <c r="AG5" s="54">
        <f t="shared" ca="1" si="0"/>
        <v>45015</v>
      </c>
      <c r="AH5" s="54">
        <f t="shared" ca="1" si="0"/>
        <v>45016</v>
      </c>
      <c r="AI5" s="54">
        <f t="shared" ca="1" si="0"/>
        <v>45017</v>
      </c>
      <c r="AJ5" s="55">
        <f t="shared" ca="1" si="0"/>
        <v>45018</v>
      </c>
      <c r="AK5" s="53">
        <f ca="1">AJ5+1</f>
        <v>45019</v>
      </c>
      <c r="AL5" s="54">
        <f ca="1">AK5+1</f>
        <v>45020</v>
      </c>
      <c r="AM5" s="54">
        <f t="shared" ca="1" si="0"/>
        <v>45021</v>
      </c>
      <c r="AN5" s="54">
        <f t="shared" ca="1" si="0"/>
        <v>45022</v>
      </c>
      <c r="AO5" s="54">
        <f t="shared" ca="1" si="0"/>
        <v>45023</v>
      </c>
      <c r="AP5" s="54">
        <f t="shared" ca="1" si="0"/>
        <v>45024</v>
      </c>
      <c r="AQ5" s="55">
        <f t="shared" ca="1" si="0"/>
        <v>45025</v>
      </c>
      <c r="AR5" s="53">
        <f ca="1">AQ5+1</f>
        <v>45026</v>
      </c>
      <c r="AS5" s="54">
        <f ca="1">AR5+1</f>
        <v>45027</v>
      </c>
      <c r="AT5" s="54">
        <f t="shared" ca="1" si="0"/>
        <v>45028</v>
      </c>
      <c r="AU5" s="54">
        <f t="shared" ca="1" si="0"/>
        <v>45029</v>
      </c>
      <c r="AV5" s="54">
        <f t="shared" ca="1" si="0"/>
        <v>45030</v>
      </c>
      <c r="AW5" s="54">
        <f t="shared" ca="1" si="0"/>
        <v>45031</v>
      </c>
      <c r="AX5" s="55">
        <f t="shared" ca="1" si="0"/>
        <v>45032</v>
      </c>
      <c r="AY5" s="53">
        <f ca="1">AX5+1</f>
        <v>45033</v>
      </c>
      <c r="AZ5" s="54">
        <f ca="1">AY5+1</f>
        <v>45034</v>
      </c>
      <c r="BA5" s="54">
        <f t="shared" ref="BA5:BE5" ca="1" si="1">AZ5+1</f>
        <v>45035</v>
      </c>
      <c r="BB5" s="54">
        <f t="shared" ca="1" si="1"/>
        <v>45036</v>
      </c>
      <c r="BC5" s="54">
        <f t="shared" ca="1" si="1"/>
        <v>45037</v>
      </c>
      <c r="BD5" s="54">
        <f t="shared" ca="1" si="1"/>
        <v>45038</v>
      </c>
      <c r="BE5" s="55">
        <f t="shared" ca="1" si="1"/>
        <v>45039</v>
      </c>
      <c r="BF5" s="53">
        <f ca="1">BE5+1</f>
        <v>45040</v>
      </c>
      <c r="BG5" s="54">
        <f ca="1">BF5+1</f>
        <v>45041</v>
      </c>
      <c r="BH5" s="54">
        <f t="shared" ref="BH5:BL5" ca="1" si="2">BG5+1</f>
        <v>45042</v>
      </c>
      <c r="BI5" s="54">
        <f t="shared" ca="1" si="2"/>
        <v>45043</v>
      </c>
      <c r="BJ5" s="54">
        <f t="shared" ca="1" si="2"/>
        <v>45044</v>
      </c>
      <c r="BK5" s="54">
        <f t="shared" ca="1" si="2"/>
        <v>45045</v>
      </c>
      <c r="BL5" s="55">
        <f t="shared" ca="1" si="2"/>
        <v>45046</v>
      </c>
      <c r="BM5" s="53">
        <f ca="1">BL5+1</f>
        <v>45047</v>
      </c>
      <c r="BN5" s="54">
        <f ca="1">BM5+1</f>
        <v>45048</v>
      </c>
      <c r="BO5" s="54">
        <f t="shared" ref="BO5" ca="1" si="3">BN5+1</f>
        <v>45049</v>
      </c>
      <c r="BP5" s="54">
        <f t="shared" ref="BP5" ca="1" si="4">BO5+1</f>
        <v>45050</v>
      </c>
      <c r="BQ5" s="54">
        <f t="shared" ref="BQ5" ca="1" si="5">BP5+1</f>
        <v>45051</v>
      </c>
      <c r="BR5" s="54">
        <f t="shared" ref="BR5" ca="1" si="6">BQ5+1</f>
        <v>45052</v>
      </c>
      <c r="BS5" s="55">
        <f t="shared" ref="BS5" ca="1" si="7">BR5+1</f>
        <v>45053</v>
      </c>
      <c r="BT5" s="53">
        <f ca="1">BS5+1</f>
        <v>45054</v>
      </c>
      <c r="BU5" s="54">
        <f ca="1">BT5+1</f>
        <v>45055</v>
      </c>
      <c r="BV5" s="54">
        <f t="shared" ref="BV5" ca="1" si="8">BU5+1</f>
        <v>45056</v>
      </c>
      <c r="BW5" s="54">
        <f t="shared" ref="BW5" ca="1" si="9">BV5+1</f>
        <v>45057</v>
      </c>
      <c r="BX5" s="54">
        <f t="shared" ref="BX5" ca="1" si="10">BW5+1</f>
        <v>45058</v>
      </c>
      <c r="BY5" s="54">
        <f t="shared" ref="BY5" ca="1" si="11">BX5+1</f>
        <v>45059</v>
      </c>
      <c r="BZ5" s="55">
        <f t="shared" ref="BZ5" ca="1" si="12">BY5+1</f>
        <v>45060</v>
      </c>
      <c r="CA5" s="53">
        <f ca="1">BZ5+1</f>
        <v>45061</v>
      </c>
      <c r="CB5" s="54">
        <f ca="1">CA5+1</f>
        <v>45062</v>
      </c>
      <c r="CC5" s="54">
        <f t="shared" ref="CC5" ca="1" si="13">CB5+1</f>
        <v>45063</v>
      </c>
      <c r="CD5" s="54">
        <f t="shared" ref="CD5" ca="1" si="14">CC5+1</f>
        <v>45064</v>
      </c>
      <c r="CE5" s="54">
        <f t="shared" ref="CE5" ca="1" si="15">CD5+1</f>
        <v>45065</v>
      </c>
      <c r="CF5" s="54">
        <f t="shared" ref="CF5" ca="1" si="16">CE5+1</f>
        <v>45066</v>
      </c>
      <c r="CG5" s="55">
        <f t="shared" ref="CG5" ca="1" si="17">CF5+1</f>
        <v>45067</v>
      </c>
      <c r="CH5" s="53">
        <f ca="1">CG5+1</f>
        <v>45068</v>
      </c>
      <c r="CI5" s="54">
        <f ca="1">CH5+1</f>
        <v>45069</v>
      </c>
      <c r="CJ5" s="54">
        <f t="shared" ref="CJ5" ca="1" si="18">CI5+1</f>
        <v>45070</v>
      </c>
      <c r="CK5" s="54">
        <f t="shared" ref="CK5" ca="1" si="19">CJ5+1</f>
        <v>45071</v>
      </c>
      <c r="CL5" s="54">
        <f t="shared" ref="CL5" ca="1" si="20">CK5+1</f>
        <v>45072</v>
      </c>
      <c r="CM5" s="54">
        <f t="shared" ref="CM5" ca="1" si="21">CL5+1</f>
        <v>45073</v>
      </c>
      <c r="CN5" s="55">
        <f t="shared" ref="CN5" ca="1" si="22">CM5+1</f>
        <v>45074</v>
      </c>
      <c r="CO5" s="53">
        <f ca="1">CN5+1</f>
        <v>45075</v>
      </c>
      <c r="CP5" s="54">
        <f ca="1">CO5+1</f>
        <v>45076</v>
      </c>
      <c r="CQ5" s="54">
        <f t="shared" ref="CQ5" ca="1" si="23">CP5+1</f>
        <v>45077</v>
      </c>
      <c r="CR5" s="54">
        <f t="shared" ref="CR5" ca="1" si="24">CQ5+1</f>
        <v>45078</v>
      </c>
      <c r="CS5" s="54">
        <f t="shared" ref="CS5" ca="1" si="25">CR5+1</f>
        <v>45079</v>
      </c>
      <c r="CT5" s="54">
        <f t="shared" ref="CT5" ca="1" si="26">CS5+1</f>
        <v>45080</v>
      </c>
      <c r="CU5" s="55">
        <f t="shared" ref="CU5" ca="1" si="27">CT5+1</f>
        <v>45081</v>
      </c>
      <c r="CV5" s="53">
        <f ca="1">CU5+1</f>
        <v>45082</v>
      </c>
      <c r="CW5" s="54">
        <f ca="1">CV5+1</f>
        <v>45083</v>
      </c>
      <c r="CX5" s="54">
        <f t="shared" ref="CX5" ca="1" si="28">CW5+1</f>
        <v>45084</v>
      </c>
      <c r="CY5" s="54">
        <f t="shared" ref="CY5" ca="1" si="29">CX5+1</f>
        <v>45085</v>
      </c>
      <c r="CZ5" s="54">
        <f t="shared" ref="CZ5" ca="1" si="30">CY5+1</f>
        <v>45086</v>
      </c>
      <c r="DA5" s="54">
        <f t="shared" ref="DA5" ca="1" si="31">CZ5+1</f>
        <v>45087</v>
      </c>
      <c r="DB5" s="55">
        <f t="shared" ref="DB5" ca="1" si="32">DA5+1</f>
        <v>45088</v>
      </c>
      <c r="DC5" s="53">
        <f ca="1">DB5+1</f>
        <v>45089</v>
      </c>
      <c r="DD5" s="54">
        <f ca="1">DC5+1</f>
        <v>45090</v>
      </c>
      <c r="DE5" s="54">
        <f t="shared" ref="DE5" ca="1" si="33">DD5+1</f>
        <v>45091</v>
      </c>
      <c r="DF5" s="54">
        <f t="shared" ref="DF5" ca="1" si="34">DE5+1</f>
        <v>45092</v>
      </c>
      <c r="DG5" s="54">
        <f t="shared" ref="DG5" ca="1" si="35">DF5+1</f>
        <v>45093</v>
      </c>
      <c r="DH5" s="54">
        <f t="shared" ref="DH5" ca="1" si="36">DG5+1</f>
        <v>45094</v>
      </c>
      <c r="DI5" s="55">
        <f t="shared" ref="DI5" ca="1" si="37">DH5+1</f>
        <v>45095</v>
      </c>
      <c r="DJ5" s="53">
        <f ca="1">DI5+1</f>
        <v>45096</v>
      </c>
      <c r="DK5" s="54">
        <f ca="1">DJ5+1</f>
        <v>45097</v>
      </c>
      <c r="DL5" s="54">
        <f t="shared" ref="DL5" ca="1" si="38">DK5+1</f>
        <v>45098</v>
      </c>
      <c r="DM5" s="54">
        <f t="shared" ref="DM5" ca="1" si="39">DL5+1</f>
        <v>45099</v>
      </c>
      <c r="DN5" s="54">
        <f t="shared" ref="DN5" ca="1" si="40">DM5+1</f>
        <v>45100</v>
      </c>
      <c r="DO5" s="54">
        <f t="shared" ref="DO5" ca="1" si="41">DN5+1</f>
        <v>45101</v>
      </c>
      <c r="DP5" s="55">
        <f t="shared" ref="DP5" ca="1" si="42">DO5+1</f>
        <v>45102</v>
      </c>
      <c r="DQ5" s="53">
        <f ca="1">DP5+1</f>
        <v>45103</v>
      </c>
      <c r="DR5" s="54">
        <f ca="1">DQ5+1</f>
        <v>45104</v>
      </c>
      <c r="DS5" s="54">
        <f t="shared" ref="DS5" ca="1" si="43">DR5+1</f>
        <v>45105</v>
      </c>
      <c r="DT5" s="54">
        <f t="shared" ref="DT5" ca="1" si="44">DS5+1</f>
        <v>45106</v>
      </c>
      <c r="DU5" s="54">
        <f t="shared" ref="DU5" ca="1" si="45">DT5+1</f>
        <v>45107</v>
      </c>
      <c r="DV5" s="54">
        <f t="shared" ref="DV5" ca="1" si="46">DU5+1</f>
        <v>45108</v>
      </c>
      <c r="DW5" s="55">
        <f t="shared" ref="DW5" ca="1" si="47">DV5+1</f>
        <v>45109</v>
      </c>
      <c r="DX5" s="53">
        <f ca="1">DW5+1</f>
        <v>45110</v>
      </c>
      <c r="DY5" s="54">
        <f ca="1">DX5+1</f>
        <v>45111</v>
      </c>
      <c r="DZ5" s="54">
        <f t="shared" ref="DZ5" ca="1" si="48">DY5+1</f>
        <v>45112</v>
      </c>
      <c r="EA5" s="54">
        <f t="shared" ref="EA5" ca="1" si="49">DZ5+1</f>
        <v>45113</v>
      </c>
      <c r="EB5" s="54">
        <f t="shared" ref="EB5" ca="1" si="50">EA5+1</f>
        <v>45114</v>
      </c>
      <c r="EC5" s="54">
        <f t="shared" ref="EC5" ca="1" si="51">EB5+1</f>
        <v>45115</v>
      </c>
      <c r="ED5" s="55">
        <f t="shared" ref="ED5" ca="1" si="52">EC5+1</f>
        <v>45116</v>
      </c>
      <c r="EE5" s="53">
        <f ca="1">ED5+1</f>
        <v>45117</v>
      </c>
      <c r="EF5" s="54">
        <f ca="1">EE5+1</f>
        <v>45118</v>
      </c>
      <c r="EG5" s="54">
        <f t="shared" ref="EG5" ca="1" si="53">EF5+1</f>
        <v>45119</v>
      </c>
      <c r="EH5" s="54">
        <f t="shared" ref="EH5" ca="1" si="54">EG5+1</f>
        <v>45120</v>
      </c>
      <c r="EI5" s="54">
        <f t="shared" ref="EI5" ca="1" si="55">EH5+1</f>
        <v>45121</v>
      </c>
      <c r="EJ5" s="54">
        <f t="shared" ref="EJ5" ca="1" si="56">EI5+1</f>
        <v>45122</v>
      </c>
      <c r="EK5" s="55">
        <f t="shared" ref="EK5" ca="1" si="57">EJ5+1</f>
        <v>45123</v>
      </c>
      <c r="EL5" s="53">
        <f ca="1">EK5+1</f>
        <v>45124</v>
      </c>
      <c r="EM5" s="54">
        <f ca="1">EL5+1</f>
        <v>45125</v>
      </c>
      <c r="EN5" s="54">
        <f t="shared" ref="EN5" ca="1" si="58">EM5+1</f>
        <v>45126</v>
      </c>
      <c r="EO5" s="54">
        <f t="shared" ref="EO5" ca="1" si="59">EN5+1</f>
        <v>45127</v>
      </c>
      <c r="EP5" s="54">
        <f t="shared" ref="EP5" ca="1" si="60">EO5+1</f>
        <v>45128</v>
      </c>
      <c r="EQ5" s="54">
        <f t="shared" ref="EQ5" ca="1" si="61">EP5+1</f>
        <v>45129</v>
      </c>
      <c r="ER5" s="55">
        <f t="shared" ref="ER5" ca="1" si="62">EQ5+1</f>
        <v>45130</v>
      </c>
      <c r="ES5" s="53">
        <f ca="1">ER5+1</f>
        <v>45131</v>
      </c>
      <c r="ET5" s="54">
        <f ca="1">ES5+1</f>
        <v>45132</v>
      </c>
      <c r="EU5" s="54">
        <f t="shared" ref="EU5" ca="1" si="63">ET5+1</f>
        <v>45133</v>
      </c>
      <c r="EV5" s="54">
        <f t="shared" ref="EV5" ca="1" si="64">EU5+1</f>
        <v>45134</v>
      </c>
      <c r="EW5" s="54">
        <f t="shared" ref="EW5" ca="1" si="65">EV5+1</f>
        <v>45135</v>
      </c>
      <c r="EX5" s="54">
        <f t="shared" ref="EX5" ca="1" si="66">EW5+1</f>
        <v>45136</v>
      </c>
      <c r="EY5" s="55">
        <f t="shared" ref="EY5" ca="1" si="67">EX5+1</f>
        <v>45137</v>
      </c>
      <c r="EZ5" s="53">
        <f ca="1">EY5+1</f>
        <v>45138</v>
      </c>
      <c r="FA5" s="54">
        <f ca="1">EZ5+1</f>
        <v>45139</v>
      </c>
      <c r="FB5" s="54">
        <f t="shared" ref="FB5" ca="1" si="68">FA5+1</f>
        <v>45140</v>
      </c>
      <c r="FC5" s="54">
        <f t="shared" ref="FC5" ca="1" si="69">FB5+1</f>
        <v>45141</v>
      </c>
      <c r="FD5" s="54">
        <f t="shared" ref="FD5" ca="1" si="70">FC5+1</f>
        <v>45142</v>
      </c>
      <c r="FE5" s="54">
        <f t="shared" ref="FE5" ca="1" si="71">FD5+1</f>
        <v>45143</v>
      </c>
      <c r="FF5" s="55">
        <f t="shared" ref="FF5" ca="1" si="72">FE5+1</f>
        <v>45144</v>
      </c>
    </row>
    <row r="6" spans="1:162" ht="30" customHeight="1" thickBot="1" x14ac:dyDescent="0.3">
      <c r="A6" s="57" t="s">
        <v>10</v>
      </c>
      <c r="B6" s="8" t="s">
        <v>11</v>
      </c>
      <c r="C6" s="9" t="s">
        <v>12</v>
      </c>
      <c r="D6" s="9" t="s">
        <v>13</v>
      </c>
      <c r="E6" s="9" t="s">
        <v>14</v>
      </c>
      <c r="F6" s="9" t="s">
        <v>15</v>
      </c>
      <c r="G6" s="9"/>
      <c r="H6" s="9" t="s">
        <v>16</v>
      </c>
      <c r="I6" s="10" t="str">
        <f t="shared" ref="I6" ca="1" si="73">LEFT(TEXT(I5,"ddd"),1)</f>
        <v>l</v>
      </c>
      <c r="J6" s="10" t="str">
        <f t="shared" ref="J6:AR6" ca="1" si="74">LEFT(TEXT(J5,"ddd"),1)</f>
        <v>m</v>
      </c>
      <c r="K6" s="10" t="str">
        <f t="shared" ca="1" si="74"/>
        <v>m</v>
      </c>
      <c r="L6" s="10" t="str">
        <f t="shared" ca="1" si="74"/>
        <v>j</v>
      </c>
      <c r="M6" s="10" t="str">
        <f t="shared" ca="1" si="74"/>
        <v>v</v>
      </c>
      <c r="N6" s="10" t="str">
        <f t="shared" ca="1" si="74"/>
        <v>s</v>
      </c>
      <c r="O6" s="10" t="str">
        <f t="shared" ca="1" si="74"/>
        <v>d</v>
      </c>
      <c r="P6" s="10" t="str">
        <f t="shared" ca="1" si="74"/>
        <v>l</v>
      </c>
      <c r="Q6" s="10" t="str">
        <f t="shared" ca="1" si="74"/>
        <v>m</v>
      </c>
      <c r="R6" s="10" t="str">
        <f t="shared" ca="1" si="74"/>
        <v>m</v>
      </c>
      <c r="S6" s="10" t="str">
        <f t="shared" ca="1" si="74"/>
        <v>j</v>
      </c>
      <c r="T6" s="10" t="str">
        <f t="shared" ca="1" si="74"/>
        <v>v</v>
      </c>
      <c r="U6" s="10" t="str">
        <f t="shared" ca="1" si="74"/>
        <v>s</v>
      </c>
      <c r="V6" s="10" t="str">
        <f t="shared" ca="1" si="74"/>
        <v>d</v>
      </c>
      <c r="W6" s="10" t="str">
        <f t="shared" ca="1" si="74"/>
        <v>l</v>
      </c>
      <c r="X6" s="10" t="str">
        <f t="shared" ca="1" si="74"/>
        <v>m</v>
      </c>
      <c r="Y6" s="10" t="str">
        <f t="shared" ca="1" si="74"/>
        <v>m</v>
      </c>
      <c r="Z6" s="10" t="str">
        <f t="shared" ca="1" si="74"/>
        <v>j</v>
      </c>
      <c r="AA6" s="10" t="str">
        <f t="shared" ca="1" si="74"/>
        <v>v</v>
      </c>
      <c r="AB6" s="10" t="str">
        <f t="shared" ca="1" si="74"/>
        <v>s</v>
      </c>
      <c r="AC6" s="10" t="str">
        <f t="shared" ca="1" si="74"/>
        <v>d</v>
      </c>
      <c r="AD6" s="10" t="str">
        <f t="shared" ca="1" si="74"/>
        <v>l</v>
      </c>
      <c r="AE6" s="10" t="str">
        <f t="shared" ca="1" si="74"/>
        <v>m</v>
      </c>
      <c r="AF6" s="10" t="str">
        <f t="shared" ca="1" si="74"/>
        <v>m</v>
      </c>
      <c r="AG6" s="10" t="str">
        <f t="shared" ca="1" si="74"/>
        <v>j</v>
      </c>
      <c r="AH6" s="10" t="str">
        <f t="shared" ca="1" si="74"/>
        <v>v</v>
      </c>
      <c r="AI6" s="10" t="str">
        <f t="shared" ca="1" si="74"/>
        <v>s</v>
      </c>
      <c r="AJ6" s="10" t="str">
        <f t="shared" ca="1" si="74"/>
        <v>d</v>
      </c>
      <c r="AK6" s="10" t="str">
        <f t="shared" ca="1" si="74"/>
        <v>l</v>
      </c>
      <c r="AL6" s="10" t="str">
        <f t="shared" ca="1" si="74"/>
        <v>m</v>
      </c>
      <c r="AM6" s="10" t="str">
        <f t="shared" ca="1" si="74"/>
        <v>m</v>
      </c>
      <c r="AN6" s="10" t="str">
        <f t="shared" ca="1" si="74"/>
        <v>j</v>
      </c>
      <c r="AO6" s="10" t="str">
        <f t="shared" ca="1" si="74"/>
        <v>v</v>
      </c>
      <c r="AP6" s="10" t="str">
        <f t="shared" ca="1" si="74"/>
        <v>s</v>
      </c>
      <c r="AQ6" s="10" t="str">
        <f t="shared" ca="1" si="74"/>
        <v>d</v>
      </c>
      <c r="AR6" s="10" t="str">
        <f t="shared" ca="1" si="74"/>
        <v>l</v>
      </c>
      <c r="AS6" s="10" t="str">
        <f t="shared" ref="AS6:BL6" ca="1" si="75">LEFT(TEXT(AS5,"ddd"),1)</f>
        <v>m</v>
      </c>
      <c r="AT6" s="10" t="str">
        <f t="shared" ca="1" si="75"/>
        <v>m</v>
      </c>
      <c r="AU6" s="10" t="str">
        <f t="shared" ca="1" si="75"/>
        <v>j</v>
      </c>
      <c r="AV6" s="10" t="str">
        <f t="shared" ca="1" si="75"/>
        <v>v</v>
      </c>
      <c r="AW6" s="10" t="str">
        <f t="shared" ca="1" si="75"/>
        <v>s</v>
      </c>
      <c r="AX6" s="10" t="str">
        <f t="shared" ca="1" si="75"/>
        <v>d</v>
      </c>
      <c r="AY6" s="10" t="str">
        <f t="shared" ca="1" si="75"/>
        <v>l</v>
      </c>
      <c r="AZ6" s="10" t="str">
        <f t="shared" ca="1" si="75"/>
        <v>m</v>
      </c>
      <c r="BA6" s="10" t="str">
        <f t="shared" ca="1" si="75"/>
        <v>m</v>
      </c>
      <c r="BB6" s="10" t="str">
        <f t="shared" ca="1" si="75"/>
        <v>j</v>
      </c>
      <c r="BC6" s="10" t="str">
        <f t="shared" ca="1" si="75"/>
        <v>v</v>
      </c>
      <c r="BD6" s="10" t="str">
        <f t="shared" ca="1" si="75"/>
        <v>s</v>
      </c>
      <c r="BE6" s="10" t="str">
        <f t="shared" ca="1" si="75"/>
        <v>d</v>
      </c>
      <c r="BF6" s="10" t="str">
        <f t="shared" ca="1" si="75"/>
        <v>l</v>
      </c>
      <c r="BG6" s="10" t="str">
        <f t="shared" ca="1" si="75"/>
        <v>m</v>
      </c>
      <c r="BH6" s="10" t="str">
        <f t="shared" ca="1" si="75"/>
        <v>m</v>
      </c>
      <c r="BI6" s="10" t="str">
        <f t="shared" ca="1" si="75"/>
        <v>j</v>
      </c>
      <c r="BJ6" s="10" t="str">
        <f t="shared" ca="1" si="75"/>
        <v>v</v>
      </c>
      <c r="BK6" s="10" t="str">
        <f t="shared" ca="1" si="75"/>
        <v>s</v>
      </c>
      <c r="BL6" s="10" t="str">
        <f t="shared" ca="1" si="75"/>
        <v>d</v>
      </c>
      <c r="BM6" s="10" t="str">
        <f t="shared" ref="BM6:DX6" ca="1" si="76">LEFT(TEXT(BM5,"ddd"),1)</f>
        <v>l</v>
      </c>
      <c r="BN6" s="10" t="str">
        <f t="shared" ca="1" si="76"/>
        <v>m</v>
      </c>
      <c r="BO6" s="10" t="str">
        <f t="shared" ca="1" si="76"/>
        <v>m</v>
      </c>
      <c r="BP6" s="10" t="str">
        <f t="shared" ca="1" si="76"/>
        <v>j</v>
      </c>
      <c r="BQ6" s="10" t="str">
        <f t="shared" ca="1" si="76"/>
        <v>v</v>
      </c>
      <c r="BR6" s="10" t="str">
        <f t="shared" ca="1" si="76"/>
        <v>s</v>
      </c>
      <c r="BS6" s="10" t="str">
        <f t="shared" ca="1" si="76"/>
        <v>d</v>
      </c>
      <c r="BT6" s="10" t="str">
        <f t="shared" ca="1" si="76"/>
        <v>l</v>
      </c>
      <c r="BU6" s="10" t="str">
        <f t="shared" ca="1" si="76"/>
        <v>m</v>
      </c>
      <c r="BV6" s="10" t="str">
        <f t="shared" ca="1" si="76"/>
        <v>m</v>
      </c>
      <c r="BW6" s="10" t="str">
        <f t="shared" ca="1" si="76"/>
        <v>j</v>
      </c>
      <c r="BX6" s="10" t="str">
        <f t="shared" ca="1" si="76"/>
        <v>v</v>
      </c>
      <c r="BY6" s="10" t="str">
        <f t="shared" ca="1" si="76"/>
        <v>s</v>
      </c>
      <c r="BZ6" s="10" t="str">
        <f t="shared" ca="1" si="76"/>
        <v>d</v>
      </c>
      <c r="CA6" s="10" t="str">
        <f t="shared" ca="1" si="76"/>
        <v>l</v>
      </c>
      <c r="CB6" s="10" t="str">
        <f t="shared" ca="1" si="76"/>
        <v>m</v>
      </c>
      <c r="CC6" s="10" t="str">
        <f t="shared" ca="1" si="76"/>
        <v>m</v>
      </c>
      <c r="CD6" s="10" t="str">
        <f t="shared" ca="1" si="76"/>
        <v>j</v>
      </c>
      <c r="CE6" s="10" t="str">
        <f t="shared" ca="1" si="76"/>
        <v>v</v>
      </c>
      <c r="CF6" s="10" t="str">
        <f t="shared" ca="1" si="76"/>
        <v>s</v>
      </c>
      <c r="CG6" s="10" t="str">
        <f t="shared" ca="1" si="76"/>
        <v>d</v>
      </c>
      <c r="CH6" s="10" t="str">
        <f t="shared" ca="1" si="76"/>
        <v>l</v>
      </c>
      <c r="CI6" s="10" t="str">
        <f t="shared" ca="1" si="76"/>
        <v>m</v>
      </c>
      <c r="CJ6" s="10" t="str">
        <f t="shared" ca="1" si="76"/>
        <v>m</v>
      </c>
      <c r="CK6" s="10" t="str">
        <f t="shared" ca="1" si="76"/>
        <v>j</v>
      </c>
      <c r="CL6" s="10" t="str">
        <f t="shared" ca="1" si="76"/>
        <v>v</v>
      </c>
      <c r="CM6" s="10" t="str">
        <f t="shared" ca="1" si="76"/>
        <v>s</v>
      </c>
      <c r="CN6" s="10" t="str">
        <f t="shared" ca="1" si="76"/>
        <v>d</v>
      </c>
      <c r="CO6" s="10" t="str">
        <f t="shared" ca="1" si="76"/>
        <v>l</v>
      </c>
      <c r="CP6" s="10" t="str">
        <f t="shared" ca="1" si="76"/>
        <v>m</v>
      </c>
      <c r="CQ6" s="10" t="str">
        <f t="shared" ca="1" si="76"/>
        <v>m</v>
      </c>
      <c r="CR6" s="10" t="str">
        <f t="shared" ca="1" si="76"/>
        <v>j</v>
      </c>
      <c r="CS6" s="10" t="str">
        <f t="shared" ca="1" si="76"/>
        <v>v</v>
      </c>
      <c r="CT6" s="10" t="str">
        <f t="shared" ca="1" si="76"/>
        <v>s</v>
      </c>
      <c r="CU6" s="10" t="str">
        <f t="shared" ca="1" si="76"/>
        <v>d</v>
      </c>
      <c r="CV6" s="10" t="str">
        <f t="shared" ca="1" si="76"/>
        <v>l</v>
      </c>
      <c r="CW6" s="10" t="str">
        <f t="shared" ca="1" si="76"/>
        <v>m</v>
      </c>
      <c r="CX6" s="10" t="str">
        <f t="shared" ca="1" si="76"/>
        <v>m</v>
      </c>
      <c r="CY6" s="10" t="str">
        <f t="shared" ca="1" si="76"/>
        <v>j</v>
      </c>
      <c r="CZ6" s="10" t="str">
        <f t="shared" ca="1" si="76"/>
        <v>v</v>
      </c>
      <c r="DA6" s="10" t="str">
        <f t="shared" ca="1" si="76"/>
        <v>s</v>
      </c>
      <c r="DB6" s="10" t="str">
        <f t="shared" ca="1" si="76"/>
        <v>d</v>
      </c>
      <c r="DC6" s="10" t="str">
        <f t="shared" ca="1" si="76"/>
        <v>l</v>
      </c>
      <c r="DD6" s="10" t="str">
        <f t="shared" ca="1" si="76"/>
        <v>m</v>
      </c>
      <c r="DE6" s="10" t="str">
        <f t="shared" ca="1" si="76"/>
        <v>m</v>
      </c>
      <c r="DF6" s="10" t="str">
        <f t="shared" ca="1" si="76"/>
        <v>j</v>
      </c>
      <c r="DG6" s="10" t="str">
        <f t="shared" ca="1" si="76"/>
        <v>v</v>
      </c>
      <c r="DH6" s="10" t="str">
        <f t="shared" ca="1" si="76"/>
        <v>s</v>
      </c>
      <c r="DI6" s="10" t="str">
        <f t="shared" ca="1" si="76"/>
        <v>d</v>
      </c>
      <c r="DJ6" s="10" t="str">
        <f t="shared" ca="1" si="76"/>
        <v>l</v>
      </c>
      <c r="DK6" s="10" t="str">
        <f t="shared" ca="1" si="76"/>
        <v>m</v>
      </c>
      <c r="DL6" s="10" t="str">
        <f t="shared" ca="1" si="76"/>
        <v>m</v>
      </c>
      <c r="DM6" s="10" t="str">
        <f t="shared" ca="1" si="76"/>
        <v>j</v>
      </c>
      <c r="DN6" s="10" t="str">
        <f t="shared" ca="1" si="76"/>
        <v>v</v>
      </c>
      <c r="DO6" s="10" t="str">
        <f t="shared" ca="1" si="76"/>
        <v>s</v>
      </c>
      <c r="DP6" s="10" t="str">
        <f t="shared" ca="1" si="76"/>
        <v>d</v>
      </c>
      <c r="DQ6" s="10" t="str">
        <f t="shared" ca="1" si="76"/>
        <v>l</v>
      </c>
      <c r="DR6" s="10" t="str">
        <f t="shared" ca="1" si="76"/>
        <v>m</v>
      </c>
      <c r="DS6" s="10" t="str">
        <f t="shared" ca="1" si="76"/>
        <v>m</v>
      </c>
      <c r="DT6" s="10" t="str">
        <f t="shared" ca="1" si="76"/>
        <v>j</v>
      </c>
      <c r="DU6" s="10" t="str">
        <f t="shared" ca="1" si="76"/>
        <v>v</v>
      </c>
      <c r="DV6" s="10" t="str">
        <f t="shared" ca="1" si="76"/>
        <v>s</v>
      </c>
      <c r="DW6" s="10" t="str">
        <f t="shared" ca="1" si="76"/>
        <v>d</v>
      </c>
      <c r="DX6" s="10" t="str">
        <f t="shared" ca="1" si="76"/>
        <v>l</v>
      </c>
      <c r="DY6" s="10" t="str">
        <f t="shared" ref="DY6:FF6" ca="1" si="77">LEFT(TEXT(DY5,"ddd"),1)</f>
        <v>m</v>
      </c>
      <c r="DZ6" s="10" t="str">
        <f t="shared" ca="1" si="77"/>
        <v>m</v>
      </c>
      <c r="EA6" s="10" t="str">
        <f t="shared" ca="1" si="77"/>
        <v>j</v>
      </c>
      <c r="EB6" s="10" t="str">
        <f t="shared" ca="1" si="77"/>
        <v>v</v>
      </c>
      <c r="EC6" s="10" t="str">
        <f t="shared" ca="1" si="77"/>
        <v>s</v>
      </c>
      <c r="ED6" s="10" t="str">
        <f t="shared" ca="1" si="77"/>
        <v>d</v>
      </c>
      <c r="EE6" s="10" t="str">
        <f t="shared" ca="1" si="77"/>
        <v>l</v>
      </c>
      <c r="EF6" s="10" t="str">
        <f t="shared" ca="1" si="77"/>
        <v>m</v>
      </c>
      <c r="EG6" s="10" t="str">
        <f t="shared" ca="1" si="77"/>
        <v>m</v>
      </c>
      <c r="EH6" s="10" t="str">
        <f t="shared" ca="1" si="77"/>
        <v>j</v>
      </c>
      <c r="EI6" s="10" t="str">
        <f t="shared" ca="1" si="77"/>
        <v>v</v>
      </c>
      <c r="EJ6" s="10" t="str">
        <f t="shared" ca="1" si="77"/>
        <v>s</v>
      </c>
      <c r="EK6" s="10" t="str">
        <f t="shared" ca="1" si="77"/>
        <v>d</v>
      </c>
      <c r="EL6" s="10" t="str">
        <f t="shared" ca="1" si="77"/>
        <v>l</v>
      </c>
      <c r="EM6" s="10" t="str">
        <f t="shared" ca="1" si="77"/>
        <v>m</v>
      </c>
      <c r="EN6" s="10" t="str">
        <f t="shared" ca="1" si="77"/>
        <v>m</v>
      </c>
      <c r="EO6" s="10" t="str">
        <f t="shared" ca="1" si="77"/>
        <v>j</v>
      </c>
      <c r="EP6" s="10" t="str">
        <f t="shared" ca="1" si="77"/>
        <v>v</v>
      </c>
      <c r="EQ6" s="10" t="str">
        <f t="shared" ca="1" si="77"/>
        <v>s</v>
      </c>
      <c r="ER6" s="10" t="str">
        <f t="shared" ca="1" si="77"/>
        <v>d</v>
      </c>
      <c r="ES6" s="10" t="str">
        <f t="shared" ca="1" si="77"/>
        <v>l</v>
      </c>
      <c r="ET6" s="10" t="str">
        <f t="shared" ca="1" si="77"/>
        <v>m</v>
      </c>
      <c r="EU6" s="10" t="str">
        <f t="shared" ca="1" si="77"/>
        <v>m</v>
      </c>
      <c r="EV6" s="10" t="str">
        <f t="shared" ca="1" si="77"/>
        <v>j</v>
      </c>
      <c r="EW6" s="10" t="str">
        <f t="shared" ca="1" si="77"/>
        <v>v</v>
      </c>
      <c r="EX6" s="10" t="str">
        <f t="shared" ca="1" si="77"/>
        <v>s</v>
      </c>
      <c r="EY6" s="10" t="str">
        <f t="shared" ca="1" si="77"/>
        <v>d</v>
      </c>
      <c r="EZ6" s="10" t="str">
        <f t="shared" ca="1" si="77"/>
        <v>l</v>
      </c>
      <c r="FA6" s="10" t="str">
        <f t="shared" ca="1" si="77"/>
        <v>m</v>
      </c>
      <c r="FB6" s="10" t="str">
        <f t="shared" ca="1" si="77"/>
        <v>m</v>
      </c>
      <c r="FC6" s="10" t="str">
        <f t="shared" ca="1" si="77"/>
        <v>j</v>
      </c>
      <c r="FD6" s="10" t="str">
        <f t="shared" ca="1" si="77"/>
        <v>v</v>
      </c>
      <c r="FE6" s="10" t="str">
        <f t="shared" ca="1" si="77"/>
        <v>s</v>
      </c>
      <c r="FF6" s="10" t="str">
        <f t="shared" ca="1" si="77"/>
        <v>d</v>
      </c>
    </row>
    <row r="7" spans="1:162" ht="30" hidden="1" customHeight="1" thickBot="1" x14ac:dyDescent="0.3">
      <c r="A7" s="58" t="s">
        <v>17</v>
      </c>
      <c r="C7" s="31"/>
      <c r="E7"/>
      <c r="H7" t="str">
        <f>IF(OR(ISBLANK(task_start),ISBLANK(task_end)),"",task_end-task_start+1)</f>
        <v/>
      </c>
      <c r="I7" s="26"/>
      <c r="J7" s="26"/>
      <c r="K7" s="26"/>
      <c r="L7" s="26"/>
      <c r="M7" s="26"/>
      <c r="N7" s="26"/>
      <c r="O7" s="26"/>
      <c r="P7" s="26"/>
      <c r="Q7" s="26"/>
      <c r="R7" s="26"/>
      <c r="S7" s="26"/>
      <c r="T7" s="26"/>
      <c r="U7" s="26"/>
      <c r="V7" s="26"/>
      <c r="W7" s="26"/>
      <c r="X7" s="26"/>
      <c r="Y7" s="26"/>
      <c r="Z7" s="26"/>
      <c r="AA7" s="26"/>
      <c r="AB7" s="26"/>
      <c r="AC7" s="26"/>
      <c r="AD7" s="26"/>
      <c r="AE7" s="26"/>
      <c r="AF7" s="26"/>
      <c r="AG7" s="26"/>
      <c r="AH7" s="26"/>
      <c r="AI7" s="26"/>
      <c r="AJ7" s="26"/>
      <c r="AK7" s="26"/>
      <c r="AL7" s="26"/>
      <c r="AM7" s="26"/>
      <c r="AN7" s="26"/>
      <c r="AO7" s="26"/>
      <c r="AP7" s="26"/>
      <c r="AQ7" s="26"/>
      <c r="AR7" s="26"/>
      <c r="AS7" s="26"/>
      <c r="AT7" s="26"/>
      <c r="AU7" s="26"/>
      <c r="AV7" s="26"/>
      <c r="AW7" s="26"/>
      <c r="AX7" s="26"/>
      <c r="AY7" s="26"/>
      <c r="AZ7" s="26"/>
      <c r="BA7" s="26"/>
      <c r="BB7" s="26"/>
      <c r="BC7" s="26"/>
      <c r="BD7" s="26"/>
      <c r="BE7" s="26"/>
      <c r="BF7" s="26"/>
      <c r="BG7" s="26"/>
      <c r="BH7" s="26"/>
      <c r="BI7" s="26"/>
      <c r="BJ7" s="26"/>
      <c r="BK7" s="26"/>
      <c r="BL7" s="26"/>
      <c r="BM7" s="26"/>
      <c r="BN7" s="26"/>
      <c r="BO7" s="26"/>
      <c r="BP7" s="26"/>
      <c r="BQ7" s="26"/>
      <c r="BR7" s="26"/>
      <c r="BS7" s="26"/>
      <c r="BT7" s="26"/>
      <c r="BU7" s="26"/>
      <c r="BV7" s="26"/>
      <c r="BW7" s="26"/>
      <c r="BX7" s="26"/>
      <c r="BY7" s="26"/>
      <c r="BZ7" s="26"/>
      <c r="CA7" s="26"/>
      <c r="CB7" s="26"/>
      <c r="CC7" s="26"/>
      <c r="CD7" s="26"/>
      <c r="CE7" s="26"/>
      <c r="CF7" s="26"/>
      <c r="CG7" s="26"/>
      <c r="CH7" s="26"/>
      <c r="CI7" s="26"/>
      <c r="CJ7" s="26"/>
      <c r="CK7" s="26"/>
      <c r="CL7" s="26"/>
      <c r="CM7" s="26"/>
      <c r="CN7" s="26"/>
      <c r="CO7" s="26"/>
      <c r="CP7" s="26"/>
      <c r="CQ7" s="26"/>
      <c r="CR7" s="26"/>
      <c r="CS7" s="26"/>
      <c r="CT7" s="26"/>
      <c r="CU7" s="26"/>
      <c r="CV7" s="26"/>
      <c r="CW7" s="26"/>
      <c r="CX7" s="26"/>
      <c r="CY7" s="26"/>
      <c r="CZ7" s="26"/>
      <c r="DA7" s="26"/>
      <c r="DB7" s="26"/>
      <c r="DC7" s="26"/>
      <c r="DD7" s="26"/>
      <c r="DE7" s="26"/>
      <c r="DF7" s="26"/>
      <c r="DG7" s="26"/>
      <c r="DH7" s="26"/>
      <c r="DI7" s="26"/>
      <c r="DJ7" s="26"/>
      <c r="DK7" s="26"/>
      <c r="DL7" s="26"/>
      <c r="DM7" s="26"/>
      <c r="DN7" s="26"/>
      <c r="DO7" s="26"/>
      <c r="DP7" s="26"/>
      <c r="DQ7" s="26"/>
      <c r="DR7" s="26"/>
      <c r="DS7" s="26"/>
      <c r="DT7" s="26"/>
      <c r="DU7" s="26"/>
      <c r="DV7" s="26"/>
      <c r="DW7" s="26"/>
      <c r="DX7" s="26"/>
      <c r="DY7" s="26"/>
      <c r="DZ7" s="26"/>
      <c r="EA7" s="26"/>
      <c r="EB7" s="26"/>
      <c r="EC7" s="26"/>
      <c r="ED7" s="26"/>
      <c r="EE7" s="26"/>
      <c r="EF7" s="26"/>
      <c r="EG7" s="26"/>
      <c r="EH7" s="26"/>
      <c r="EI7" s="26"/>
      <c r="EJ7" s="26"/>
      <c r="EK7" s="26"/>
      <c r="EL7" s="26"/>
      <c r="EM7" s="26"/>
      <c r="EN7" s="26"/>
      <c r="EO7" s="26"/>
      <c r="EP7" s="26"/>
      <c r="EQ7" s="26"/>
      <c r="ER7" s="26"/>
      <c r="ES7" s="26"/>
      <c r="ET7" s="26"/>
      <c r="EU7" s="26"/>
      <c r="EV7" s="26"/>
      <c r="EW7" s="26"/>
      <c r="EX7" s="26"/>
      <c r="EY7" s="26"/>
      <c r="EZ7" s="26"/>
      <c r="FA7" s="26"/>
      <c r="FB7" s="26"/>
      <c r="FC7" s="26"/>
      <c r="FD7" s="26"/>
      <c r="FE7" s="26"/>
      <c r="FF7" s="26"/>
    </row>
    <row r="8" spans="1:162" s="3" customFormat="1" ht="30" customHeight="1" thickBot="1" x14ac:dyDescent="0.3">
      <c r="A8" s="57" t="s">
        <v>18</v>
      </c>
      <c r="B8" s="14" t="s">
        <v>123</v>
      </c>
      <c r="C8" s="76" t="s">
        <v>12</v>
      </c>
      <c r="D8" s="15">
        <v>0</v>
      </c>
      <c r="E8" s="41"/>
      <c r="F8" s="42"/>
      <c r="G8" s="13"/>
      <c r="H8" s="13" t="str">
        <f t="shared" ref="H8:H40" si="78">IF(OR(ISBLANK(task_start),ISBLANK(task_end)),"",task_end-task_start+1)</f>
        <v/>
      </c>
      <c r="I8" s="26"/>
      <c r="J8" s="26"/>
      <c r="K8" s="26"/>
      <c r="L8" s="26"/>
      <c r="M8" s="26"/>
      <c r="N8" s="26"/>
      <c r="O8" s="26"/>
      <c r="P8" s="26"/>
      <c r="Q8" s="26"/>
      <c r="R8" s="26"/>
      <c r="S8" s="26"/>
      <c r="T8" s="26"/>
      <c r="U8" s="26"/>
      <c r="V8" s="26"/>
      <c r="W8" s="26"/>
      <c r="X8" s="26"/>
      <c r="Y8" s="26"/>
      <c r="Z8" s="26"/>
      <c r="AA8" s="26"/>
      <c r="AB8" s="26"/>
      <c r="AC8" s="26"/>
      <c r="AD8" s="26"/>
      <c r="AE8" s="26"/>
      <c r="AF8" s="26"/>
      <c r="AG8" s="26"/>
      <c r="AH8" s="26"/>
      <c r="AI8" s="26"/>
      <c r="AJ8" s="26"/>
      <c r="AK8" s="26"/>
      <c r="AL8" s="26"/>
      <c r="AM8" s="26"/>
      <c r="AN8" s="26"/>
      <c r="AO8" s="26"/>
      <c r="AP8" s="26"/>
      <c r="AQ8" s="26"/>
      <c r="AR8" s="26"/>
      <c r="AS8" s="26"/>
      <c r="AT8" s="26"/>
      <c r="AU8" s="26"/>
      <c r="AV8" s="26"/>
      <c r="AW8" s="26"/>
      <c r="AX8" s="26"/>
      <c r="AY8" s="26"/>
      <c r="AZ8" s="26"/>
      <c r="BA8" s="26"/>
      <c r="BB8" s="26"/>
      <c r="BC8" s="26"/>
      <c r="BD8" s="26"/>
      <c r="BE8" s="26"/>
      <c r="BF8" s="26"/>
      <c r="BG8" s="26"/>
      <c r="BH8" s="26"/>
      <c r="BI8" s="26"/>
      <c r="BJ8" s="26"/>
      <c r="BK8" s="26"/>
      <c r="BL8" s="26"/>
      <c r="BM8" s="26"/>
      <c r="BN8" s="26"/>
      <c r="BO8" s="26"/>
      <c r="BP8" s="26"/>
      <c r="BQ8" s="26"/>
      <c r="BR8" s="26"/>
      <c r="BS8" s="26"/>
      <c r="BT8" s="26"/>
      <c r="BU8" s="26"/>
      <c r="BV8" s="26"/>
      <c r="BW8" s="26"/>
      <c r="BX8" s="26"/>
      <c r="BY8" s="26"/>
      <c r="BZ8" s="26"/>
      <c r="CA8" s="26"/>
      <c r="CB8" s="26"/>
      <c r="CC8" s="26"/>
      <c r="CD8" s="26"/>
      <c r="CE8" s="26"/>
      <c r="CF8" s="26"/>
      <c r="CG8" s="26"/>
      <c r="CH8" s="26"/>
      <c r="CI8" s="26"/>
      <c r="CJ8" s="26"/>
      <c r="CK8" s="26"/>
      <c r="CL8" s="26"/>
      <c r="CM8" s="26"/>
      <c r="CN8" s="26"/>
      <c r="CO8" s="26"/>
      <c r="CP8" s="26"/>
      <c r="CQ8" s="26"/>
      <c r="CR8" s="26"/>
      <c r="CS8" s="26"/>
      <c r="CT8" s="26"/>
      <c r="CU8" s="26"/>
      <c r="CV8" s="26"/>
      <c r="CW8" s="26"/>
      <c r="CX8" s="26"/>
      <c r="CY8" s="26"/>
      <c r="CZ8" s="26"/>
      <c r="DA8" s="26"/>
      <c r="DB8" s="26"/>
      <c r="DC8" s="26"/>
      <c r="DD8" s="26"/>
      <c r="DE8" s="26"/>
      <c r="DF8" s="26"/>
      <c r="DG8" s="26"/>
      <c r="DH8" s="26"/>
      <c r="DI8" s="26"/>
      <c r="DJ8" s="26"/>
      <c r="DK8" s="26"/>
      <c r="DL8" s="26"/>
      <c r="DM8" s="26"/>
      <c r="DN8" s="26"/>
      <c r="DO8" s="26"/>
      <c r="DP8" s="26"/>
      <c r="DQ8" s="26"/>
      <c r="DR8" s="26"/>
      <c r="DS8" s="26"/>
      <c r="DT8" s="26"/>
      <c r="DU8" s="26"/>
      <c r="DV8" s="26"/>
      <c r="DW8" s="26"/>
      <c r="DX8" s="26"/>
      <c r="DY8" s="26"/>
      <c r="DZ8" s="26"/>
      <c r="EA8" s="26"/>
      <c r="EB8" s="26"/>
      <c r="EC8" s="26"/>
      <c r="ED8" s="26"/>
      <c r="EE8" s="26"/>
      <c r="EF8" s="26"/>
      <c r="EG8" s="26"/>
      <c r="EH8" s="26"/>
      <c r="EI8" s="26"/>
      <c r="EJ8" s="26"/>
      <c r="EK8" s="26"/>
      <c r="EL8" s="26"/>
      <c r="EM8" s="26"/>
      <c r="EN8" s="26"/>
      <c r="EO8" s="26"/>
      <c r="EP8" s="26"/>
      <c r="EQ8" s="26"/>
      <c r="ER8" s="26"/>
      <c r="ES8" s="26"/>
      <c r="ET8" s="26"/>
      <c r="EU8" s="26"/>
      <c r="EV8" s="26"/>
      <c r="EW8" s="26"/>
      <c r="EX8" s="26"/>
      <c r="EY8" s="26"/>
      <c r="EZ8" s="26"/>
      <c r="FA8" s="26"/>
      <c r="FB8" s="26"/>
      <c r="FC8" s="26"/>
      <c r="FD8" s="26"/>
      <c r="FE8" s="26"/>
      <c r="FF8" s="26"/>
    </row>
    <row r="9" spans="1:162" s="3" customFormat="1" ht="30" customHeight="1" thickBot="1" x14ac:dyDescent="0.3">
      <c r="A9" s="57" t="s">
        <v>20</v>
      </c>
      <c r="B9" s="34" t="s">
        <v>127</v>
      </c>
      <c r="C9" s="73" t="s">
        <v>19</v>
      </c>
      <c r="D9" s="16">
        <v>0</v>
      </c>
      <c r="E9" s="43">
        <f ca="1">Inicio_del_proyecto</f>
        <v>44994</v>
      </c>
      <c r="F9" s="43">
        <v>44998</v>
      </c>
      <c r="G9" s="13"/>
      <c r="H9" s="13">
        <f t="shared" ca="1" si="78"/>
        <v>5</v>
      </c>
      <c r="I9" s="26"/>
      <c r="J9" s="26"/>
      <c r="K9" s="26"/>
      <c r="L9" s="26"/>
      <c r="M9" s="26"/>
      <c r="N9" s="26"/>
      <c r="O9" s="26"/>
      <c r="P9" s="26"/>
      <c r="Q9" s="26"/>
      <c r="R9" s="26"/>
      <c r="S9" s="26"/>
      <c r="T9" s="26"/>
      <c r="U9" s="26"/>
      <c r="V9" s="26"/>
      <c r="W9" s="26"/>
      <c r="X9" s="26"/>
      <c r="Y9" s="26"/>
      <c r="Z9" s="26"/>
      <c r="AA9" s="26"/>
      <c r="AB9" s="26"/>
      <c r="AC9" s="26"/>
      <c r="AD9" s="26"/>
      <c r="AE9" s="26"/>
      <c r="AF9" s="26"/>
      <c r="AG9" s="26"/>
      <c r="AH9" s="26"/>
      <c r="AI9" s="26"/>
      <c r="AJ9" s="26"/>
      <c r="AK9" s="26"/>
      <c r="AL9" s="26"/>
      <c r="AM9" s="26"/>
      <c r="AN9" s="26"/>
      <c r="AO9" s="26"/>
      <c r="AP9" s="26"/>
      <c r="AQ9" s="26"/>
      <c r="AR9" s="26"/>
      <c r="AS9" s="26"/>
      <c r="AT9" s="26"/>
      <c r="AU9" s="26"/>
      <c r="AV9" s="26"/>
      <c r="AW9" s="26"/>
      <c r="AX9" s="26"/>
      <c r="AY9" s="26"/>
      <c r="AZ9" s="26"/>
      <c r="BA9" s="26"/>
      <c r="BB9" s="26"/>
      <c r="BC9" s="26"/>
      <c r="BD9" s="26"/>
      <c r="BE9" s="26"/>
      <c r="BF9" s="26"/>
      <c r="BG9" s="26"/>
      <c r="BH9" s="26"/>
      <c r="BI9" s="26"/>
      <c r="BJ9" s="26"/>
      <c r="BK9" s="26"/>
      <c r="BL9" s="26"/>
      <c r="BM9" s="26"/>
      <c r="BN9" s="26"/>
      <c r="BO9" s="26"/>
      <c r="BP9" s="26"/>
      <c r="BQ9" s="26"/>
      <c r="BR9" s="26"/>
      <c r="BS9" s="26"/>
      <c r="BT9" s="26"/>
      <c r="BU9" s="26"/>
      <c r="BV9" s="26"/>
      <c r="BW9" s="26"/>
      <c r="BX9" s="26"/>
      <c r="BY9" s="26"/>
      <c r="BZ9" s="26"/>
      <c r="CA9" s="26"/>
      <c r="CB9" s="26"/>
      <c r="CC9" s="26"/>
      <c r="CD9" s="26"/>
      <c r="CE9" s="26"/>
      <c r="CF9" s="26"/>
      <c r="CG9" s="26"/>
      <c r="CH9" s="26"/>
      <c r="CI9" s="26"/>
      <c r="CJ9" s="26"/>
      <c r="CK9" s="26"/>
      <c r="CL9" s="26"/>
      <c r="CM9" s="26"/>
      <c r="CN9" s="26"/>
      <c r="CO9" s="26"/>
      <c r="CP9" s="26"/>
      <c r="CQ9" s="26"/>
      <c r="CR9" s="26"/>
      <c r="CS9" s="26"/>
      <c r="CT9" s="26"/>
      <c r="CU9" s="26"/>
      <c r="CV9" s="26"/>
      <c r="CW9" s="26"/>
      <c r="CX9" s="26"/>
      <c r="CY9" s="26"/>
      <c r="CZ9" s="26"/>
      <c r="DA9" s="26"/>
      <c r="DB9" s="26"/>
      <c r="DC9" s="26"/>
      <c r="DD9" s="26"/>
      <c r="DE9" s="26"/>
      <c r="DF9" s="26"/>
      <c r="DG9" s="26"/>
      <c r="DH9" s="26"/>
      <c r="DI9" s="26"/>
      <c r="DJ9" s="26"/>
      <c r="DK9" s="26"/>
      <c r="DL9" s="26"/>
      <c r="DM9" s="26"/>
      <c r="DN9" s="26"/>
      <c r="DO9" s="26"/>
      <c r="DP9" s="26"/>
      <c r="DQ9" s="26"/>
      <c r="DR9" s="26"/>
      <c r="DS9" s="26"/>
      <c r="DT9" s="26"/>
      <c r="DU9" s="26"/>
      <c r="DV9" s="26"/>
      <c r="DW9" s="26"/>
      <c r="DX9" s="26"/>
      <c r="DY9" s="26"/>
      <c r="DZ9" s="26"/>
      <c r="EA9" s="26"/>
      <c r="EB9" s="26"/>
      <c r="EC9" s="26"/>
      <c r="ED9" s="26"/>
      <c r="EE9" s="26"/>
      <c r="EF9" s="26"/>
      <c r="EG9" s="26"/>
      <c r="EH9" s="26"/>
      <c r="EI9" s="26"/>
      <c r="EJ9" s="26"/>
      <c r="EK9" s="26"/>
      <c r="EL9" s="26"/>
      <c r="EM9" s="26"/>
      <c r="EN9" s="26"/>
      <c r="EO9" s="26"/>
      <c r="EP9" s="26"/>
      <c r="EQ9" s="26"/>
      <c r="ER9" s="26"/>
      <c r="ES9" s="26"/>
      <c r="ET9" s="26"/>
      <c r="EU9" s="26"/>
      <c r="EV9" s="26"/>
      <c r="EW9" s="26"/>
      <c r="EX9" s="26"/>
      <c r="EY9" s="26"/>
      <c r="EZ9" s="26"/>
      <c r="FA9" s="26"/>
      <c r="FB9" s="26"/>
      <c r="FC9" s="26"/>
      <c r="FD9" s="26"/>
      <c r="FE9" s="26"/>
      <c r="FF9" s="26"/>
    </row>
    <row r="10" spans="1:162" s="3" customFormat="1" ht="30" customHeight="1" thickBot="1" x14ac:dyDescent="0.3">
      <c r="A10" s="57"/>
      <c r="B10" s="34" t="s">
        <v>128</v>
      </c>
      <c r="C10" s="73" t="s">
        <v>19</v>
      </c>
      <c r="D10" s="16">
        <v>0</v>
      </c>
      <c r="E10" s="43">
        <v>44999</v>
      </c>
      <c r="F10" s="43">
        <v>45001</v>
      </c>
      <c r="G10" s="13"/>
      <c r="H10" s="13"/>
      <c r="I10" s="26"/>
      <c r="J10" s="26"/>
      <c r="K10" s="26"/>
      <c r="L10" s="26"/>
      <c r="M10" s="26"/>
      <c r="N10" s="26"/>
      <c r="O10" s="26"/>
      <c r="P10" s="26"/>
      <c r="Q10" s="26"/>
      <c r="R10" s="26"/>
      <c r="S10" s="26"/>
      <c r="T10" s="26"/>
      <c r="U10" s="26"/>
      <c r="V10" s="26"/>
      <c r="W10" s="26"/>
      <c r="X10" s="26"/>
      <c r="Y10" s="26"/>
      <c r="Z10" s="26"/>
      <c r="AA10" s="26"/>
      <c r="AB10" s="26"/>
      <c r="AC10" s="26"/>
      <c r="AD10" s="26"/>
      <c r="AE10" s="26"/>
      <c r="AF10" s="26"/>
      <c r="AG10" s="26"/>
      <c r="AH10" s="26"/>
      <c r="AI10" s="26"/>
      <c r="AJ10" s="26"/>
      <c r="AK10" s="26"/>
      <c r="AL10" s="26"/>
      <c r="AM10" s="26"/>
      <c r="AN10" s="26"/>
      <c r="AO10" s="26"/>
      <c r="AP10" s="26"/>
      <c r="AQ10" s="26"/>
      <c r="AR10" s="26"/>
      <c r="AS10" s="26"/>
      <c r="AT10" s="26"/>
      <c r="AU10" s="26"/>
      <c r="AV10" s="26"/>
      <c r="AW10" s="26"/>
      <c r="AX10" s="26"/>
      <c r="AY10" s="26"/>
      <c r="AZ10" s="26"/>
      <c r="BA10" s="26"/>
      <c r="BB10" s="26"/>
      <c r="BC10" s="26"/>
      <c r="BD10" s="26"/>
      <c r="BE10" s="26"/>
      <c r="BF10" s="26"/>
      <c r="BG10" s="26"/>
      <c r="BH10" s="26"/>
      <c r="BI10" s="26"/>
      <c r="BJ10" s="26"/>
      <c r="BK10" s="26"/>
      <c r="BL10" s="26"/>
      <c r="BM10" s="26"/>
      <c r="BN10" s="26"/>
      <c r="BO10" s="26"/>
      <c r="BP10" s="26"/>
      <c r="BQ10" s="26"/>
      <c r="BR10" s="26"/>
      <c r="BS10" s="26"/>
      <c r="BT10" s="26"/>
      <c r="BU10" s="26"/>
      <c r="BV10" s="26"/>
      <c r="BW10" s="26"/>
      <c r="BX10" s="26"/>
      <c r="BY10" s="26"/>
      <c r="BZ10" s="26"/>
      <c r="CA10" s="26"/>
      <c r="CB10" s="26"/>
      <c r="CC10" s="26"/>
      <c r="CD10" s="26"/>
      <c r="CE10" s="26"/>
      <c r="CF10" s="26"/>
      <c r="CG10" s="26"/>
      <c r="CH10" s="26"/>
      <c r="CI10" s="26"/>
      <c r="CJ10" s="26"/>
      <c r="CK10" s="26"/>
      <c r="CL10" s="26"/>
      <c r="CM10" s="26"/>
      <c r="CN10" s="26"/>
      <c r="CO10" s="26"/>
      <c r="CP10" s="26"/>
      <c r="CQ10" s="26"/>
      <c r="CR10" s="26"/>
      <c r="CS10" s="26"/>
      <c r="CT10" s="26"/>
      <c r="CU10" s="26"/>
      <c r="CV10" s="26"/>
      <c r="CW10" s="26"/>
      <c r="CX10" s="26"/>
      <c r="CY10" s="26"/>
      <c r="CZ10" s="26"/>
      <c r="DA10" s="26"/>
      <c r="DB10" s="26"/>
      <c r="DC10" s="26"/>
      <c r="DD10" s="26"/>
      <c r="DE10" s="26"/>
      <c r="DF10" s="26"/>
      <c r="DG10" s="26"/>
      <c r="DH10" s="26"/>
      <c r="DI10" s="26"/>
      <c r="DJ10" s="26"/>
      <c r="DK10" s="26"/>
      <c r="DL10" s="26"/>
      <c r="DM10" s="26"/>
      <c r="DN10" s="26"/>
      <c r="DO10" s="26"/>
      <c r="DP10" s="26"/>
      <c r="DQ10" s="26"/>
      <c r="DR10" s="26"/>
      <c r="DS10" s="26"/>
      <c r="DT10" s="26"/>
      <c r="DU10" s="26"/>
      <c r="DV10" s="26"/>
      <c r="DW10" s="26"/>
      <c r="DX10" s="26"/>
      <c r="DY10" s="26"/>
      <c r="DZ10" s="26"/>
      <c r="EA10" s="26"/>
      <c r="EB10" s="26"/>
      <c r="EC10" s="26"/>
      <c r="ED10" s="26"/>
      <c r="EE10" s="26"/>
      <c r="EF10" s="26"/>
      <c r="EG10" s="26"/>
      <c r="EH10" s="26"/>
      <c r="EI10" s="26"/>
      <c r="EJ10" s="26"/>
      <c r="EK10" s="26"/>
      <c r="EL10" s="26"/>
      <c r="EM10" s="26"/>
      <c r="EN10" s="26"/>
      <c r="EO10" s="26"/>
      <c r="EP10" s="26"/>
      <c r="EQ10" s="26"/>
      <c r="ER10" s="26"/>
      <c r="ES10" s="26"/>
      <c r="ET10" s="26"/>
      <c r="EU10" s="26"/>
      <c r="EV10" s="26"/>
      <c r="EW10" s="26"/>
      <c r="EX10" s="26"/>
      <c r="EY10" s="26"/>
      <c r="EZ10" s="26"/>
      <c r="FA10" s="26"/>
      <c r="FB10" s="26"/>
      <c r="FC10" s="26"/>
      <c r="FD10" s="26"/>
      <c r="FE10" s="26"/>
      <c r="FF10" s="26"/>
    </row>
    <row r="11" spans="1:162" s="3" customFormat="1" ht="30" customHeight="1" thickBot="1" x14ac:dyDescent="0.3">
      <c r="A11" s="57" t="s">
        <v>21</v>
      </c>
      <c r="B11" s="34" t="s">
        <v>129</v>
      </c>
      <c r="C11" s="73" t="s">
        <v>94</v>
      </c>
      <c r="D11" s="16">
        <v>0</v>
      </c>
      <c r="E11" s="43">
        <v>45001</v>
      </c>
      <c r="F11" s="43">
        <v>45001</v>
      </c>
      <c r="G11" s="13"/>
      <c r="H11" s="13">
        <f t="shared" si="78"/>
        <v>1</v>
      </c>
      <c r="I11" s="26"/>
      <c r="J11" s="26"/>
      <c r="K11" s="26"/>
      <c r="L11" s="26"/>
      <c r="M11" s="26"/>
      <c r="N11" s="26"/>
      <c r="O11" s="26"/>
      <c r="P11" s="26"/>
      <c r="Q11" s="26"/>
      <c r="R11" s="26"/>
      <c r="S11" s="26"/>
      <c r="T11" s="26"/>
      <c r="U11" s="27"/>
      <c r="V11" s="27"/>
      <c r="W11" s="26"/>
      <c r="X11" s="26"/>
      <c r="Y11" s="26"/>
      <c r="Z11" s="26"/>
      <c r="AA11" s="26"/>
      <c r="AB11" s="26"/>
      <c r="AC11" s="26"/>
      <c r="AD11" s="26"/>
      <c r="AE11" s="26"/>
      <c r="AF11" s="26"/>
      <c r="AG11" s="26"/>
      <c r="AH11" s="26"/>
      <c r="AI11" s="26"/>
      <c r="AJ11" s="26"/>
      <c r="AK11" s="26"/>
      <c r="AL11" s="26"/>
      <c r="AM11" s="26"/>
      <c r="AN11" s="26"/>
      <c r="AO11" s="26"/>
      <c r="AP11" s="26"/>
      <c r="AQ11" s="26"/>
      <c r="AR11" s="26"/>
      <c r="AS11" s="26"/>
      <c r="AT11" s="26"/>
      <c r="AU11" s="26"/>
      <c r="AV11" s="26"/>
      <c r="AW11" s="26"/>
      <c r="AX11" s="26"/>
      <c r="AY11" s="26"/>
      <c r="AZ11" s="26"/>
      <c r="BA11" s="26"/>
      <c r="BB11" s="26"/>
      <c r="BC11" s="26"/>
      <c r="BD11" s="26"/>
      <c r="BE11" s="26"/>
      <c r="BF11" s="26"/>
      <c r="BG11" s="26"/>
      <c r="BH11" s="26"/>
      <c r="BI11" s="26"/>
      <c r="BJ11" s="26"/>
      <c r="BK11" s="26"/>
      <c r="BL11" s="26"/>
      <c r="BM11" s="26"/>
      <c r="BN11" s="26"/>
      <c r="BO11" s="26"/>
      <c r="BP11" s="26"/>
      <c r="BQ11" s="26"/>
      <c r="BR11" s="26"/>
      <c r="BS11" s="26"/>
      <c r="BT11" s="26"/>
      <c r="BU11" s="26"/>
      <c r="BV11" s="26"/>
      <c r="BW11" s="26"/>
      <c r="BX11" s="26"/>
      <c r="BY11" s="26"/>
      <c r="BZ11" s="26"/>
      <c r="CA11" s="26"/>
      <c r="CB11" s="26"/>
      <c r="CC11" s="26"/>
      <c r="CD11" s="26"/>
      <c r="CE11" s="26"/>
      <c r="CF11" s="26"/>
      <c r="CG11" s="26"/>
      <c r="CH11" s="26"/>
      <c r="CI11" s="26"/>
      <c r="CJ11" s="26"/>
      <c r="CK11" s="26"/>
      <c r="CL11" s="26"/>
      <c r="CM11" s="26"/>
      <c r="CN11" s="26"/>
      <c r="CO11" s="26"/>
      <c r="CP11" s="26"/>
      <c r="CQ11" s="26"/>
      <c r="CR11" s="26"/>
      <c r="CS11" s="26"/>
      <c r="CT11" s="26"/>
      <c r="CU11" s="26"/>
      <c r="CV11" s="26"/>
      <c r="CW11" s="26"/>
      <c r="CX11" s="26"/>
      <c r="CY11" s="26"/>
      <c r="CZ11" s="26"/>
      <c r="DA11" s="26"/>
      <c r="DB11" s="26"/>
      <c r="DC11" s="26"/>
      <c r="DD11" s="26"/>
      <c r="DE11" s="26"/>
      <c r="DF11" s="26"/>
      <c r="DG11" s="26"/>
      <c r="DH11" s="26"/>
      <c r="DI11" s="26"/>
      <c r="DJ11" s="26"/>
      <c r="DK11" s="26"/>
      <c r="DL11" s="26"/>
      <c r="DM11" s="26"/>
      <c r="DN11" s="26"/>
      <c r="DO11" s="26"/>
      <c r="DP11" s="26"/>
      <c r="DQ11" s="26"/>
      <c r="DR11" s="26"/>
      <c r="DS11" s="26"/>
      <c r="DT11" s="26"/>
      <c r="DU11" s="26"/>
      <c r="DV11" s="26"/>
      <c r="DW11" s="26"/>
      <c r="DX11" s="26"/>
      <c r="DY11" s="26"/>
      <c r="DZ11" s="26"/>
      <c r="EA11" s="26"/>
      <c r="EB11" s="26"/>
      <c r="EC11" s="26"/>
      <c r="ED11" s="26"/>
      <c r="EE11" s="26"/>
      <c r="EF11" s="26"/>
      <c r="EG11" s="26"/>
      <c r="EH11" s="26"/>
      <c r="EI11" s="26"/>
      <c r="EJ11" s="26"/>
      <c r="EK11" s="26"/>
      <c r="EL11" s="26"/>
      <c r="EM11" s="26"/>
      <c r="EN11" s="26"/>
      <c r="EO11" s="26"/>
      <c r="EP11" s="26"/>
      <c r="EQ11" s="26"/>
      <c r="ER11" s="26"/>
      <c r="ES11" s="26"/>
      <c r="ET11" s="26"/>
      <c r="EU11" s="26"/>
      <c r="EV11" s="26"/>
      <c r="EW11" s="26"/>
      <c r="EX11" s="26"/>
      <c r="EY11" s="26"/>
      <c r="EZ11" s="26"/>
      <c r="FA11" s="26"/>
      <c r="FB11" s="26"/>
      <c r="FC11" s="26"/>
      <c r="FD11" s="26"/>
      <c r="FE11" s="26"/>
      <c r="FF11" s="26"/>
    </row>
    <row r="12" spans="1:162" s="3" customFormat="1" ht="30" customHeight="1" thickBot="1" x14ac:dyDescent="0.3">
      <c r="A12" s="58"/>
      <c r="B12" s="34" t="s">
        <v>130</v>
      </c>
      <c r="C12" s="73" t="s">
        <v>100</v>
      </c>
      <c r="D12" s="16">
        <v>0</v>
      </c>
      <c r="E12" s="43">
        <v>45004</v>
      </c>
      <c r="F12" s="43">
        <f>E12</f>
        <v>45004</v>
      </c>
      <c r="G12" s="13"/>
      <c r="H12" s="13">
        <f t="shared" si="78"/>
        <v>1</v>
      </c>
      <c r="I12" s="26"/>
      <c r="J12" s="26"/>
      <c r="K12" s="26"/>
      <c r="L12" s="26"/>
      <c r="M12" s="26"/>
      <c r="N12" s="26"/>
      <c r="O12" s="26"/>
      <c r="P12" s="26"/>
      <c r="Q12" s="26"/>
      <c r="R12" s="26"/>
      <c r="S12" s="26"/>
      <c r="T12" s="26"/>
      <c r="U12" s="26"/>
      <c r="V12" s="26"/>
      <c r="W12" s="26"/>
      <c r="X12" s="26"/>
      <c r="Y12" s="26"/>
      <c r="Z12" s="26"/>
      <c r="AA12" s="26"/>
      <c r="AB12" s="26"/>
      <c r="AC12" s="26"/>
      <c r="AD12" s="26"/>
      <c r="AE12" s="26"/>
      <c r="AF12" s="26"/>
      <c r="AG12" s="26"/>
      <c r="AH12" s="26"/>
      <c r="AI12" s="26"/>
      <c r="AJ12" s="26"/>
      <c r="AK12" s="26"/>
      <c r="AL12" s="26"/>
      <c r="AM12" s="26"/>
      <c r="AN12" s="26"/>
      <c r="AO12" s="26"/>
      <c r="AP12" s="26"/>
      <c r="AQ12" s="26"/>
      <c r="AR12" s="26"/>
      <c r="AS12" s="26"/>
      <c r="AT12" s="26"/>
      <c r="AU12" s="26"/>
      <c r="AV12" s="26"/>
      <c r="AW12" s="26"/>
      <c r="AX12" s="26"/>
      <c r="AY12" s="26"/>
      <c r="AZ12" s="26"/>
      <c r="BA12" s="26"/>
      <c r="BB12" s="26"/>
      <c r="BC12" s="26"/>
      <c r="BD12" s="26"/>
      <c r="BE12" s="26"/>
      <c r="BF12" s="26"/>
      <c r="BG12" s="26"/>
      <c r="BH12" s="26"/>
      <c r="BI12" s="26"/>
      <c r="BJ12" s="26"/>
      <c r="BK12" s="26"/>
      <c r="BL12" s="26"/>
      <c r="BM12" s="26"/>
      <c r="BN12" s="26"/>
      <c r="BO12" s="26"/>
      <c r="BP12" s="26"/>
      <c r="BQ12" s="26"/>
      <c r="BR12" s="26"/>
      <c r="BS12" s="26"/>
      <c r="BT12" s="26"/>
      <c r="BU12" s="26"/>
      <c r="BV12" s="26"/>
      <c r="BW12" s="26"/>
      <c r="BX12" s="26"/>
      <c r="BY12" s="26"/>
      <c r="BZ12" s="26"/>
      <c r="CA12" s="26"/>
      <c r="CB12" s="26"/>
      <c r="CC12" s="26"/>
      <c r="CD12" s="26"/>
      <c r="CE12" s="26"/>
      <c r="CF12" s="26"/>
      <c r="CG12" s="26"/>
      <c r="CH12" s="26"/>
      <c r="CI12" s="26"/>
      <c r="CJ12" s="26"/>
      <c r="CK12" s="26"/>
      <c r="CL12" s="26"/>
      <c r="CM12" s="26"/>
      <c r="CN12" s="26"/>
      <c r="CO12" s="26"/>
      <c r="CP12" s="26"/>
      <c r="CQ12" s="26"/>
      <c r="CR12" s="26"/>
      <c r="CS12" s="26"/>
      <c r="CT12" s="26"/>
      <c r="CU12" s="26"/>
      <c r="CV12" s="26"/>
      <c r="CW12" s="26"/>
      <c r="CX12" s="26"/>
      <c r="CY12" s="26"/>
      <c r="CZ12" s="26"/>
      <c r="DA12" s="26"/>
      <c r="DB12" s="26"/>
      <c r="DC12" s="26"/>
      <c r="DD12" s="26"/>
      <c r="DE12" s="26"/>
      <c r="DF12" s="26"/>
      <c r="DG12" s="26"/>
      <c r="DH12" s="26"/>
      <c r="DI12" s="26"/>
      <c r="DJ12" s="26"/>
      <c r="DK12" s="26"/>
      <c r="DL12" s="26"/>
      <c r="DM12" s="26"/>
      <c r="DN12" s="26"/>
      <c r="DO12" s="26"/>
      <c r="DP12" s="26"/>
      <c r="DQ12" s="26"/>
      <c r="DR12" s="26"/>
      <c r="DS12" s="26"/>
      <c r="DT12" s="26"/>
      <c r="DU12" s="26"/>
      <c r="DV12" s="26"/>
      <c r="DW12" s="26"/>
      <c r="DX12" s="26"/>
      <c r="DY12" s="26"/>
      <c r="DZ12" s="26"/>
      <c r="EA12" s="26"/>
      <c r="EB12" s="26"/>
      <c r="EC12" s="26"/>
      <c r="ED12" s="26"/>
      <c r="EE12" s="26"/>
      <c r="EF12" s="26"/>
      <c r="EG12" s="26"/>
      <c r="EH12" s="26"/>
      <c r="EI12" s="26"/>
      <c r="EJ12" s="26"/>
      <c r="EK12" s="26"/>
      <c r="EL12" s="26"/>
      <c r="EM12" s="26"/>
      <c r="EN12" s="26"/>
      <c r="EO12" s="26"/>
      <c r="EP12" s="26"/>
      <c r="EQ12" s="26"/>
      <c r="ER12" s="26"/>
      <c r="ES12" s="26"/>
      <c r="ET12" s="26"/>
      <c r="EU12" s="26"/>
      <c r="EV12" s="26"/>
      <c r="EW12" s="26"/>
      <c r="EX12" s="26"/>
      <c r="EY12" s="26"/>
      <c r="EZ12" s="26"/>
      <c r="FA12" s="26"/>
      <c r="FB12" s="26"/>
      <c r="FC12" s="26"/>
      <c r="FD12" s="26"/>
      <c r="FE12" s="26"/>
      <c r="FF12" s="26"/>
    </row>
    <row r="13" spans="1:162" s="3" customFormat="1" ht="30" customHeight="1" thickBot="1" x14ac:dyDescent="0.3">
      <c r="A13" s="58"/>
      <c r="B13" s="34" t="s">
        <v>131</v>
      </c>
      <c r="C13" s="73" t="s">
        <v>90</v>
      </c>
      <c r="D13" s="16">
        <v>0</v>
      </c>
      <c r="E13" s="43">
        <v>45005</v>
      </c>
      <c r="F13" s="43">
        <f>E13</f>
        <v>45005</v>
      </c>
      <c r="G13" s="13"/>
      <c r="H13" s="13">
        <f t="shared" si="78"/>
        <v>1</v>
      </c>
      <c r="I13" s="26"/>
      <c r="J13" s="26"/>
      <c r="K13" s="26"/>
      <c r="L13" s="26"/>
      <c r="M13" s="26"/>
      <c r="N13" s="26"/>
      <c r="O13" s="26"/>
      <c r="P13" s="26"/>
      <c r="Q13" s="26"/>
      <c r="R13" s="26"/>
      <c r="S13" s="26"/>
      <c r="T13" s="26"/>
      <c r="U13" s="26"/>
      <c r="V13" s="26"/>
      <c r="W13" s="26"/>
      <c r="X13" s="26"/>
      <c r="Y13" s="27"/>
      <c r="Z13" s="26"/>
      <c r="AA13" s="26"/>
      <c r="AB13" s="26"/>
      <c r="AC13" s="26"/>
      <c r="AD13" s="26"/>
      <c r="AE13" s="26"/>
      <c r="AF13" s="26"/>
      <c r="AG13" s="26"/>
      <c r="AH13" s="26"/>
      <c r="AI13" s="26"/>
      <c r="AJ13" s="26"/>
      <c r="AK13" s="26"/>
      <c r="AL13" s="26"/>
      <c r="AM13" s="26"/>
      <c r="AN13" s="26"/>
      <c r="AO13" s="26"/>
      <c r="AP13" s="26"/>
      <c r="AQ13" s="26"/>
      <c r="AR13" s="26"/>
      <c r="AS13" s="26"/>
      <c r="AT13" s="26"/>
      <c r="AU13" s="26"/>
      <c r="AV13" s="26"/>
      <c r="AW13" s="26"/>
      <c r="AX13" s="26"/>
      <c r="AY13" s="26"/>
      <c r="AZ13" s="26"/>
      <c r="BA13" s="26"/>
      <c r="BB13" s="26"/>
      <c r="BC13" s="26"/>
      <c r="BD13" s="26"/>
      <c r="BE13" s="26"/>
      <c r="BF13" s="26"/>
      <c r="BG13" s="26"/>
      <c r="BH13" s="26"/>
      <c r="BI13" s="26"/>
      <c r="BJ13" s="26"/>
      <c r="BK13" s="26"/>
      <c r="BL13" s="26"/>
      <c r="BM13" s="26"/>
      <c r="BN13" s="26"/>
      <c r="BO13" s="26"/>
      <c r="BP13" s="26"/>
      <c r="BQ13" s="26"/>
      <c r="BR13" s="26"/>
      <c r="BS13" s="26"/>
      <c r="BT13" s="26"/>
      <c r="BU13" s="26"/>
      <c r="BV13" s="26"/>
      <c r="BW13" s="26"/>
      <c r="BX13" s="26"/>
      <c r="BY13" s="26"/>
      <c r="BZ13" s="26"/>
      <c r="CA13" s="26"/>
      <c r="CB13" s="26"/>
      <c r="CC13" s="26"/>
      <c r="CD13" s="26"/>
      <c r="CE13" s="26"/>
      <c r="CF13" s="26"/>
      <c r="CG13" s="26"/>
      <c r="CH13" s="26"/>
      <c r="CI13" s="26"/>
      <c r="CJ13" s="26"/>
      <c r="CK13" s="26"/>
      <c r="CL13" s="26"/>
      <c r="CM13" s="26"/>
      <c r="CN13" s="26"/>
      <c r="CO13" s="26"/>
      <c r="CP13" s="26"/>
      <c r="CQ13" s="26"/>
      <c r="CR13" s="26"/>
      <c r="CS13" s="26"/>
      <c r="CT13" s="26"/>
      <c r="CU13" s="26"/>
      <c r="CV13" s="26"/>
      <c r="CW13" s="26"/>
      <c r="CX13" s="26"/>
      <c r="CY13" s="26"/>
      <c r="CZ13" s="26"/>
      <c r="DA13" s="26"/>
      <c r="DB13" s="26"/>
      <c r="DC13" s="26"/>
      <c r="DD13" s="26"/>
      <c r="DE13" s="26"/>
      <c r="DF13" s="26"/>
      <c r="DG13" s="26"/>
      <c r="DH13" s="26"/>
      <c r="DI13" s="26"/>
      <c r="DJ13" s="26"/>
      <c r="DK13" s="26"/>
      <c r="DL13" s="26"/>
      <c r="DM13" s="26"/>
      <c r="DN13" s="26"/>
      <c r="DO13" s="26"/>
      <c r="DP13" s="26"/>
      <c r="DQ13" s="26"/>
      <c r="DR13" s="26"/>
      <c r="DS13" s="26"/>
      <c r="DT13" s="26"/>
      <c r="DU13" s="26"/>
      <c r="DV13" s="26"/>
      <c r="DW13" s="26"/>
      <c r="DX13" s="26"/>
      <c r="DY13" s="26"/>
      <c r="DZ13" s="26"/>
      <c r="EA13" s="26"/>
      <c r="EB13" s="26"/>
      <c r="EC13" s="26"/>
      <c r="ED13" s="26"/>
      <c r="EE13" s="26"/>
      <c r="EF13" s="26"/>
      <c r="EG13" s="26"/>
      <c r="EH13" s="26"/>
      <c r="EI13" s="26"/>
      <c r="EJ13" s="26"/>
      <c r="EK13" s="26"/>
      <c r="EL13" s="26"/>
      <c r="EM13" s="26"/>
      <c r="EN13" s="26"/>
      <c r="EO13" s="26"/>
      <c r="EP13" s="26"/>
      <c r="EQ13" s="26"/>
      <c r="ER13" s="26"/>
      <c r="ES13" s="26"/>
      <c r="ET13" s="26"/>
      <c r="EU13" s="26"/>
      <c r="EV13" s="26"/>
      <c r="EW13" s="26"/>
      <c r="EX13" s="26"/>
      <c r="EY13" s="26"/>
      <c r="EZ13" s="26"/>
      <c r="FA13" s="26"/>
      <c r="FB13" s="26"/>
      <c r="FC13" s="26"/>
      <c r="FD13" s="26"/>
      <c r="FE13" s="26"/>
      <c r="FF13" s="26"/>
    </row>
    <row r="14" spans="1:162" s="3" customFormat="1" ht="23.45" customHeight="1" thickBot="1" x14ac:dyDescent="0.3">
      <c r="A14" s="58"/>
      <c r="B14" s="34" t="s">
        <v>133</v>
      </c>
      <c r="C14" s="73" t="s">
        <v>110</v>
      </c>
      <c r="D14" s="16">
        <v>0</v>
      </c>
      <c r="E14" s="43">
        <v>45001</v>
      </c>
      <c r="F14" s="43">
        <f>E14+7</f>
        <v>45008</v>
      </c>
      <c r="G14" s="13"/>
      <c r="H14" s="13">
        <f t="shared" si="78"/>
        <v>8</v>
      </c>
      <c r="I14" s="26"/>
      <c r="J14" s="26"/>
      <c r="K14" s="26"/>
      <c r="L14" s="26"/>
      <c r="M14" s="26"/>
      <c r="N14" s="26"/>
      <c r="O14" s="26"/>
      <c r="P14" s="26"/>
      <c r="Q14" s="26"/>
      <c r="R14" s="26"/>
      <c r="S14" s="26"/>
      <c r="T14" s="26"/>
      <c r="U14" s="26"/>
      <c r="V14" s="26"/>
      <c r="W14" s="26"/>
      <c r="X14" s="26"/>
      <c r="Y14" s="26"/>
      <c r="Z14" s="26"/>
      <c r="AA14" s="26"/>
      <c r="AB14" s="26"/>
      <c r="AC14" s="26"/>
      <c r="AD14" s="26"/>
      <c r="AE14" s="26"/>
      <c r="AF14" s="26"/>
      <c r="AG14" s="26"/>
      <c r="AH14" s="26"/>
      <c r="AI14" s="26"/>
      <c r="AJ14" s="26"/>
      <c r="AK14" s="26"/>
      <c r="AL14" s="26"/>
      <c r="AM14" s="26"/>
      <c r="AN14" s="26"/>
      <c r="AO14" s="26"/>
      <c r="AP14" s="26"/>
      <c r="AQ14" s="26"/>
      <c r="AR14" s="26"/>
      <c r="AS14" s="26"/>
      <c r="AT14" s="26"/>
      <c r="AU14" s="26"/>
      <c r="AV14" s="26"/>
      <c r="AW14" s="26"/>
      <c r="AX14" s="26"/>
      <c r="AY14" s="26"/>
      <c r="AZ14" s="26"/>
      <c r="BA14" s="26"/>
      <c r="BB14" s="26"/>
      <c r="BC14" s="26"/>
      <c r="BD14" s="26"/>
      <c r="BE14" s="26"/>
      <c r="BF14" s="26"/>
      <c r="BG14" s="26"/>
      <c r="BH14" s="26"/>
      <c r="BI14" s="26"/>
      <c r="BJ14" s="26"/>
      <c r="BK14" s="26"/>
      <c r="BL14" s="26"/>
      <c r="BM14" s="26"/>
      <c r="BN14" s="26"/>
      <c r="BO14" s="26"/>
      <c r="BP14" s="26"/>
      <c r="BQ14" s="26"/>
      <c r="BR14" s="26"/>
      <c r="BS14" s="26"/>
      <c r="BT14" s="26"/>
      <c r="BU14" s="26"/>
      <c r="BV14" s="26"/>
      <c r="BW14" s="26"/>
      <c r="BX14" s="26"/>
      <c r="BY14" s="26"/>
      <c r="BZ14" s="26"/>
      <c r="CA14" s="26"/>
      <c r="CB14" s="26"/>
      <c r="CC14" s="26"/>
      <c r="CD14" s="26"/>
      <c r="CE14" s="26"/>
      <c r="CF14" s="26"/>
      <c r="CG14" s="26"/>
      <c r="CH14" s="26"/>
      <c r="CI14" s="26"/>
      <c r="CJ14" s="26"/>
      <c r="CK14" s="26"/>
      <c r="CL14" s="26"/>
      <c r="CM14" s="26"/>
      <c r="CN14" s="26"/>
      <c r="CO14" s="26"/>
      <c r="CP14" s="26"/>
      <c r="CQ14" s="26"/>
      <c r="CR14" s="26"/>
      <c r="CS14" s="26"/>
      <c r="CT14" s="26"/>
      <c r="CU14" s="26"/>
      <c r="CV14" s="26"/>
      <c r="CW14" s="26"/>
      <c r="CX14" s="26"/>
      <c r="CY14" s="26"/>
      <c r="CZ14" s="26"/>
      <c r="DA14" s="26"/>
      <c r="DB14" s="26"/>
      <c r="DC14" s="26"/>
      <c r="DD14" s="26"/>
      <c r="DE14" s="26"/>
      <c r="DF14" s="26"/>
      <c r="DG14" s="26"/>
      <c r="DH14" s="26"/>
      <c r="DI14" s="26"/>
      <c r="DJ14" s="26"/>
      <c r="DK14" s="26"/>
      <c r="DL14" s="26"/>
      <c r="DM14" s="26"/>
      <c r="DN14" s="26"/>
      <c r="DO14" s="26"/>
      <c r="DP14" s="26"/>
      <c r="DQ14" s="26"/>
      <c r="DR14" s="26"/>
      <c r="DS14" s="26"/>
      <c r="DT14" s="26"/>
      <c r="DU14" s="26"/>
      <c r="DV14" s="26"/>
      <c r="DW14" s="26"/>
      <c r="DX14" s="26"/>
      <c r="DY14" s="26"/>
      <c r="DZ14" s="26"/>
      <c r="EA14" s="26"/>
      <c r="EB14" s="26"/>
      <c r="EC14" s="26"/>
      <c r="ED14" s="26"/>
      <c r="EE14" s="26"/>
      <c r="EF14" s="26"/>
      <c r="EG14" s="26"/>
      <c r="EH14" s="26"/>
      <c r="EI14" s="26"/>
      <c r="EJ14" s="26"/>
      <c r="EK14" s="26"/>
      <c r="EL14" s="26"/>
      <c r="EM14" s="26"/>
      <c r="EN14" s="26"/>
      <c r="EO14" s="26"/>
      <c r="EP14" s="26"/>
      <c r="EQ14" s="26"/>
      <c r="ER14" s="26"/>
      <c r="ES14" s="26"/>
      <c r="ET14" s="26"/>
      <c r="EU14" s="26"/>
      <c r="EV14" s="26"/>
      <c r="EW14" s="26"/>
      <c r="EX14" s="26"/>
      <c r="EY14" s="26"/>
      <c r="EZ14" s="26"/>
      <c r="FA14" s="26"/>
      <c r="FB14" s="26"/>
      <c r="FC14" s="26"/>
      <c r="FD14" s="26"/>
      <c r="FE14" s="26"/>
      <c r="FF14" s="26"/>
    </row>
    <row r="15" spans="1:162" s="3" customFormat="1" ht="23.45" customHeight="1" thickBot="1" x14ac:dyDescent="0.3">
      <c r="A15" s="58"/>
      <c r="B15" s="34" t="s">
        <v>136</v>
      </c>
      <c r="C15" s="73" t="s">
        <v>94</v>
      </c>
      <c r="D15" s="16">
        <v>0</v>
      </c>
      <c r="E15" s="43">
        <f>F23</f>
        <v>45018</v>
      </c>
      <c r="F15" s="43">
        <f>E15+3</f>
        <v>45021</v>
      </c>
      <c r="G15" s="13"/>
      <c r="H15" s="13"/>
      <c r="I15" s="26"/>
      <c r="J15" s="26"/>
      <c r="K15" s="26"/>
      <c r="L15" s="26"/>
      <c r="M15" s="26"/>
      <c r="N15" s="26"/>
      <c r="O15" s="26"/>
      <c r="P15" s="26"/>
      <c r="Q15" s="26"/>
      <c r="R15" s="26"/>
      <c r="S15" s="26"/>
      <c r="T15" s="26"/>
      <c r="U15" s="26"/>
      <c r="V15" s="26"/>
      <c r="W15" s="26"/>
      <c r="X15" s="26"/>
      <c r="Y15" s="26"/>
      <c r="Z15" s="26"/>
      <c r="AA15" s="26"/>
      <c r="AB15" s="26"/>
      <c r="AC15" s="26"/>
      <c r="AD15" s="26"/>
      <c r="AE15" s="26"/>
      <c r="AF15" s="26"/>
      <c r="AG15" s="26"/>
      <c r="AH15" s="26"/>
      <c r="AI15" s="26"/>
      <c r="AJ15" s="26"/>
      <c r="AK15" s="26"/>
      <c r="AL15" s="26"/>
      <c r="AM15" s="26"/>
      <c r="AN15" s="26"/>
      <c r="AO15" s="26"/>
      <c r="AP15" s="26"/>
      <c r="AQ15" s="26"/>
      <c r="AR15" s="26"/>
      <c r="AS15" s="26"/>
      <c r="AT15" s="26"/>
      <c r="AU15" s="26"/>
      <c r="AV15" s="26"/>
      <c r="AW15" s="26"/>
      <c r="AX15" s="26"/>
      <c r="AY15" s="26"/>
      <c r="AZ15" s="26"/>
      <c r="BA15" s="26"/>
      <c r="BB15" s="26"/>
      <c r="BC15" s="26"/>
      <c r="BD15" s="26"/>
      <c r="BE15" s="26"/>
      <c r="BF15" s="26"/>
      <c r="BG15" s="26"/>
      <c r="BH15" s="26"/>
      <c r="BI15" s="26"/>
      <c r="BJ15" s="26"/>
      <c r="BK15" s="26"/>
      <c r="BL15" s="26"/>
      <c r="BM15" s="26"/>
      <c r="BN15" s="26"/>
      <c r="BO15" s="26"/>
      <c r="BP15" s="26"/>
      <c r="BQ15" s="26"/>
      <c r="BR15" s="26"/>
      <c r="BS15" s="26"/>
      <c r="BT15" s="26"/>
      <c r="BU15" s="26"/>
      <c r="BV15" s="26"/>
      <c r="BW15" s="26"/>
      <c r="BX15" s="26"/>
      <c r="BY15" s="26"/>
      <c r="BZ15" s="26"/>
      <c r="CA15" s="26"/>
      <c r="CB15" s="26"/>
      <c r="CC15" s="26"/>
      <c r="CD15" s="26"/>
      <c r="CE15" s="26"/>
      <c r="CF15" s="26"/>
      <c r="CG15" s="26"/>
      <c r="CH15" s="26"/>
      <c r="CI15" s="26"/>
      <c r="CJ15" s="26"/>
      <c r="CK15" s="26"/>
      <c r="CL15" s="26"/>
      <c r="CM15" s="26"/>
      <c r="CN15" s="26"/>
      <c r="CO15" s="26"/>
      <c r="CP15" s="26"/>
      <c r="CQ15" s="26"/>
      <c r="CR15" s="26"/>
      <c r="CS15" s="26"/>
      <c r="CT15" s="26"/>
      <c r="CU15" s="26"/>
      <c r="CV15" s="26"/>
      <c r="CW15" s="26"/>
      <c r="CX15" s="26"/>
      <c r="CY15" s="26"/>
      <c r="CZ15" s="26"/>
      <c r="DA15" s="26"/>
      <c r="DB15" s="26"/>
      <c r="DC15" s="26"/>
      <c r="DD15" s="26"/>
      <c r="DE15" s="26"/>
      <c r="DF15" s="26"/>
      <c r="DG15" s="26"/>
      <c r="DH15" s="26"/>
      <c r="DI15" s="26"/>
      <c r="DJ15" s="26"/>
      <c r="DK15" s="26"/>
      <c r="DL15" s="26"/>
      <c r="DM15" s="26"/>
      <c r="DN15" s="26"/>
      <c r="DO15" s="26"/>
      <c r="DP15" s="26"/>
      <c r="DQ15" s="26"/>
      <c r="DR15" s="26"/>
      <c r="DS15" s="26"/>
      <c r="DT15" s="26"/>
      <c r="DU15" s="26"/>
      <c r="DV15" s="26"/>
      <c r="DW15" s="26"/>
      <c r="DX15" s="26"/>
      <c r="DY15" s="26"/>
      <c r="DZ15" s="26"/>
      <c r="EA15" s="26"/>
      <c r="EB15" s="26"/>
      <c r="EC15" s="26"/>
      <c r="ED15" s="26"/>
      <c r="EE15" s="26"/>
      <c r="EF15" s="26"/>
      <c r="EG15" s="26"/>
      <c r="EH15" s="26"/>
      <c r="EI15" s="26"/>
      <c r="EJ15" s="26"/>
      <c r="EK15" s="26"/>
      <c r="EL15" s="26"/>
      <c r="EM15" s="26"/>
      <c r="EN15" s="26"/>
      <c r="EO15" s="26"/>
      <c r="EP15" s="26"/>
      <c r="EQ15" s="26"/>
      <c r="ER15" s="26"/>
      <c r="ES15" s="26"/>
      <c r="ET15" s="26"/>
      <c r="EU15" s="26"/>
      <c r="EV15" s="26"/>
      <c r="EW15" s="26"/>
      <c r="EX15" s="26"/>
      <c r="EY15" s="26"/>
      <c r="EZ15" s="26"/>
      <c r="FA15" s="26"/>
      <c r="FB15" s="26"/>
      <c r="FC15" s="26"/>
      <c r="FD15" s="26"/>
      <c r="FE15" s="26"/>
      <c r="FF15" s="26"/>
    </row>
    <row r="16" spans="1:162" s="3" customFormat="1" ht="23.45" customHeight="1" thickBot="1" x14ac:dyDescent="0.3">
      <c r="A16" s="58"/>
      <c r="B16" s="34" t="s">
        <v>137</v>
      </c>
      <c r="C16" s="73" t="s">
        <v>92</v>
      </c>
      <c r="D16" s="16">
        <v>0</v>
      </c>
      <c r="E16" s="43">
        <f>F15</f>
        <v>45021</v>
      </c>
      <c r="F16" s="43">
        <f>E16+3</f>
        <v>45024</v>
      </c>
      <c r="G16" s="13"/>
      <c r="H16" s="13"/>
      <c r="I16" s="26"/>
      <c r="J16" s="26"/>
      <c r="K16" s="26"/>
      <c r="L16" s="26"/>
      <c r="M16" s="26"/>
      <c r="N16" s="26"/>
      <c r="O16" s="26"/>
      <c r="P16" s="26"/>
      <c r="Q16" s="26"/>
      <c r="R16" s="26"/>
      <c r="S16" s="26"/>
      <c r="T16" s="26"/>
      <c r="U16" s="26"/>
      <c r="V16" s="26"/>
      <c r="W16" s="26"/>
      <c r="X16" s="26"/>
      <c r="Y16" s="26"/>
      <c r="Z16" s="26"/>
      <c r="AA16" s="26"/>
      <c r="AB16" s="26"/>
      <c r="AC16" s="26"/>
      <c r="AD16" s="26"/>
      <c r="AE16" s="26"/>
      <c r="AF16" s="26"/>
      <c r="AG16" s="26"/>
      <c r="AH16" s="26"/>
      <c r="AI16" s="26"/>
      <c r="AJ16" s="26"/>
      <c r="AK16" s="26"/>
      <c r="AL16" s="26"/>
      <c r="AM16" s="26"/>
      <c r="AN16" s="26"/>
      <c r="AO16" s="26"/>
      <c r="AP16" s="26"/>
      <c r="AQ16" s="26"/>
      <c r="AR16" s="26"/>
      <c r="AS16" s="26"/>
      <c r="AT16" s="26"/>
      <c r="AU16" s="26"/>
      <c r="AV16" s="26"/>
      <c r="AW16" s="26"/>
      <c r="AX16" s="26"/>
      <c r="AY16" s="26"/>
      <c r="AZ16" s="26"/>
      <c r="BA16" s="26"/>
      <c r="BB16" s="26"/>
      <c r="BC16" s="26"/>
      <c r="BD16" s="26"/>
      <c r="BE16" s="26"/>
      <c r="BF16" s="26"/>
      <c r="BG16" s="26"/>
      <c r="BH16" s="26"/>
      <c r="BI16" s="26"/>
      <c r="BJ16" s="26"/>
      <c r="BK16" s="26"/>
      <c r="BL16" s="26"/>
      <c r="BM16" s="26"/>
      <c r="BN16" s="26"/>
      <c r="BO16" s="26"/>
      <c r="BP16" s="26"/>
      <c r="BQ16" s="26"/>
      <c r="BR16" s="26"/>
      <c r="BS16" s="26"/>
      <c r="BT16" s="26"/>
      <c r="BU16" s="26"/>
      <c r="BV16" s="26"/>
      <c r="BW16" s="26"/>
      <c r="BX16" s="26"/>
      <c r="BY16" s="26"/>
      <c r="BZ16" s="26"/>
      <c r="CA16" s="26"/>
      <c r="CB16" s="26"/>
      <c r="CC16" s="26"/>
      <c r="CD16" s="26"/>
      <c r="CE16" s="26"/>
      <c r="CF16" s="26"/>
      <c r="CG16" s="26"/>
      <c r="CH16" s="26"/>
      <c r="CI16" s="26"/>
      <c r="CJ16" s="26"/>
      <c r="CK16" s="26"/>
      <c r="CL16" s="26"/>
      <c r="CM16" s="26"/>
      <c r="CN16" s="26"/>
      <c r="CO16" s="26"/>
      <c r="CP16" s="26"/>
      <c r="CQ16" s="26"/>
      <c r="CR16" s="26"/>
      <c r="CS16" s="26"/>
      <c r="CT16" s="26"/>
      <c r="CU16" s="26"/>
      <c r="CV16" s="26"/>
      <c r="CW16" s="26"/>
      <c r="CX16" s="26"/>
      <c r="CY16" s="26"/>
      <c r="CZ16" s="26"/>
      <c r="DA16" s="26"/>
      <c r="DB16" s="26"/>
      <c r="DC16" s="26"/>
      <c r="DD16" s="26"/>
      <c r="DE16" s="26"/>
      <c r="DF16" s="26"/>
      <c r="DG16" s="26"/>
      <c r="DH16" s="26"/>
      <c r="DI16" s="26"/>
      <c r="DJ16" s="26"/>
      <c r="DK16" s="26"/>
      <c r="DL16" s="26"/>
      <c r="DM16" s="26"/>
      <c r="DN16" s="26"/>
      <c r="DO16" s="26"/>
      <c r="DP16" s="26"/>
      <c r="DQ16" s="26"/>
      <c r="DR16" s="26"/>
      <c r="DS16" s="26"/>
      <c r="DT16" s="26"/>
      <c r="DU16" s="26"/>
      <c r="DV16" s="26"/>
      <c r="DW16" s="26"/>
      <c r="DX16" s="26"/>
      <c r="DY16" s="26"/>
      <c r="DZ16" s="26"/>
      <c r="EA16" s="26"/>
      <c r="EB16" s="26"/>
      <c r="EC16" s="26"/>
      <c r="ED16" s="26"/>
      <c r="EE16" s="26"/>
      <c r="EF16" s="26"/>
      <c r="EG16" s="26"/>
      <c r="EH16" s="26"/>
      <c r="EI16" s="26"/>
      <c r="EJ16" s="26"/>
      <c r="EK16" s="26"/>
      <c r="EL16" s="26"/>
      <c r="EM16" s="26"/>
      <c r="EN16" s="26"/>
      <c r="EO16" s="26"/>
      <c r="EP16" s="26"/>
      <c r="EQ16" s="26"/>
      <c r="ER16" s="26"/>
      <c r="ES16" s="26"/>
      <c r="ET16" s="26"/>
      <c r="EU16" s="26"/>
      <c r="EV16" s="26"/>
      <c r="EW16" s="26"/>
      <c r="EX16" s="26"/>
      <c r="EY16" s="26"/>
      <c r="EZ16" s="26"/>
      <c r="FA16" s="26"/>
      <c r="FB16" s="26"/>
      <c r="FC16" s="26"/>
      <c r="FD16" s="26"/>
      <c r="FE16" s="26"/>
      <c r="FF16" s="26"/>
    </row>
    <row r="17" spans="1:162" s="3" customFormat="1" ht="23.45" customHeight="1" thickBot="1" x14ac:dyDescent="0.3">
      <c r="A17" s="58"/>
      <c r="B17" s="34" t="s">
        <v>146</v>
      </c>
      <c r="C17" s="73" t="s">
        <v>90</v>
      </c>
      <c r="D17" s="16">
        <v>0</v>
      </c>
      <c r="E17" s="43">
        <f>F30</f>
        <v>45051</v>
      </c>
      <c r="F17" s="43">
        <f>E17+7</f>
        <v>45058</v>
      </c>
      <c r="G17" s="13"/>
      <c r="H17" s="13"/>
      <c r="I17" s="26"/>
      <c r="J17" s="26"/>
      <c r="K17" s="26"/>
      <c r="L17" s="26"/>
      <c r="M17" s="26"/>
      <c r="N17" s="26"/>
      <c r="O17" s="26"/>
      <c r="P17" s="26"/>
      <c r="Q17" s="26"/>
      <c r="R17" s="26"/>
      <c r="S17" s="26"/>
      <c r="T17" s="26"/>
      <c r="U17" s="26"/>
      <c r="V17" s="26"/>
      <c r="W17" s="26"/>
      <c r="X17" s="26"/>
      <c r="Y17" s="26"/>
      <c r="Z17" s="26"/>
      <c r="AA17" s="26"/>
      <c r="AB17" s="26"/>
      <c r="AC17" s="26"/>
      <c r="AD17" s="26"/>
      <c r="AE17" s="26"/>
      <c r="AF17" s="26"/>
      <c r="AG17" s="26"/>
      <c r="AH17" s="26"/>
      <c r="AI17" s="26"/>
      <c r="AJ17" s="26"/>
      <c r="AK17" s="26"/>
      <c r="AL17" s="26"/>
      <c r="AM17" s="26"/>
      <c r="AN17" s="26"/>
      <c r="AO17" s="26"/>
      <c r="AP17" s="26"/>
      <c r="AQ17" s="26"/>
      <c r="AR17" s="26"/>
      <c r="AS17" s="26"/>
      <c r="AT17" s="26"/>
      <c r="AU17" s="26"/>
      <c r="AV17" s="26"/>
      <c r="AW17" s="26"/>
      <c r="AX17" s="26"/>
      <c r="AY17" s="26"/>
      <c r="AZ17" s="26"/>
      <c r="BA17" s="26"/>
      <c r="BB17" s="26"/>
      <c r="BC17" s="26"/>
      <c r="BD17" s="26"/>
      <c r="BE17" s="26"/>
      <c r="BF17" s="26"/>
      <c r="BG17" s="26"/>
      <c r="BH17" s="26"/>
      <c r="BI17" s="26"/>
      <c r="BJ17" s="26"/>
      <c r="BK17" s="26"/>
      <c r="BL17" s="26"/>
      <c r="BM17" s="26"/>
      <c r="BN17" s="26"/>
      <c r="BO17" s="26"/>
      <c r="BP17" s="26"/>
      <c r="BQ17" s="26"/>
      <c r="BR17" s="26"/>
      <c r="BS17" s="26"/>
      <c r="BT17" s="26"/>
      <c r="BU17" s="26"/>
      <c r="BV17" s="26"/>
      <c r="BW17" s="26"/>
      <c r="BX17" s="26"/>
      <c r="BY17" s="26"/>
      <c r="BZ17" s="26"/>
      <c r="CA17" s="26"/>
      <c r="CB17" s="26"/>
      <c r="CC17" s="26"/>
      <c r="CD17" s="26"/>
      <c r="CE17" s="26"/>
      <c r="CF17" s="26"/>
      <c r="CG17" s="26"/>
      <c r="CH17" s="26"/>
      <c r="CI17" s="26"/>
      <c r="CJ17" s="26"/>
      <c r="CK17" s="26"/>
      <c r="CL17" s="26"/>
      <c r="CM17" s="26"/>
      <c r="CN17" s="26"/>
      <c r="CO17" s="26"/>
      <c r="CP17" s="26"/>
      <c r="CQ17" s="26"/>
      <c r="CR17" s="26"/>
      <c r="CS17" s="26"/>
      <c r="CT17" s="26"/>
      <c r="CU17" s="26"/>
      <c r="CV17" s="26"/>
      <c r="CW17" s="26"/>
      <c r="CX17" s="26"/>
      <c r="CY17" s="26"/>
      <c r="CZ17" s="26"/>
      <c r="DA17" s="26"/>
      <c r="DB17" s="26"/>
      <c r="DC17" s="26"/>
      <c r="DD17" s="26"/>
      <c r="DE17" s="26"/>
      <c r="DF17" s="26"/>
      <c r="DG17" s="26"/>
      <c r="DH17" s="26"/>
      <c r="DI17" s="26"/>
      <c r="DJ17" s="26"/>
      <c r="DK17" s="26"/>
      <c r="DL17" s="26"/>
      <c r="DM17" s="26"/>
      <c r="DN17" s="26"/>
      <c r="DO17" s="26"/>
      <c r="DP17" s="26"/>
      <c r="DQ17" s="26"/>
      <c r="DR17" s="26"/>
      <c r="DS17" s="26"/>
      <c r="DT17" s="26"/>
      <c r="DU17" s="26"/>
      <c r="DV17" s="26"/>
      <c r="DW17" s="26"/>
      <c r="DX17" s="26"/>
      <c r="DY17" s="26"/>
      <c r="DZ17" s="26"/>
      <c r="EA17" s="26"/>
      <c r="EB17" s="26"/>
      <c r="EC17" s="26"/>
      <c r="ED17" s="26"/>
      <c r="EE17" s="26"/>
      <c r="EF17" s="26"/>
      <c r="EG17" s="26"/>
      <c r="EH17" s="26"/>
      <c r="EI17" s="26"/>
      <c r="EJ17" s="26"/>
      <c r="EK17" s="26"/>
      <c r="EL17" s="26"/>
      <c r="EM17" s="26"/>
      <c r="EN17" s="26"/>
      <c r="EO17" s="26"/>
      <c r="EP17" s="26"/>
      <c r="EQ17" s="26"/>
      <c r="ER17" s="26"/>
      <c r="ES17" s="26"/>
      <c r="ET17" s="26"/>
      <c r="EU17" s="26"/>
      <c r="EV17" s="26"/>
      <c r="EW17" s="26"/>
      <c r="EX17" s="26"/>
      <c r="EY17" s="26"/>
      <c r="EZ17" s="26"/>
      <c r="FA17" s="26"/>
      <c r="FB17" s="26"/>
      <c r="FC17" s="26"/>
      <c r="FD17" s="26"/>
      <c r="FE17" s="26"/>
      <c r="FF17" s="26"/>
    </row>
    <row r="18" spans="1:162" s="3" customFormat="1" ht="23.45" customHeight="1" thickBot="1" x14ac:dyDescent="0.3">
      <c r="A18" s="58"/>
      <c r="B18" s="34" t="s">
        <v>150</v>
      </c>
      <c r="C18" s="73" t="s">
        <v>90</v>
      </c>
      <c r="D18" s="16">
        <v>0</v>
      </c>
      <c r="E18" s="43">
        <f>E37</f>
        <v>45051</v>
      </c>
      <c r="F18" s="43">
        <f>E18+4</f>
        <v>45055</v>
      </c>
      <c r="G18" s="13"/>
      <c r="H18" s="13"/>
      <c r="I18" s="26"/>
      <c r="J18" s="26"/>
      <c r="K18" s="26"/>
      <c r="L18" s="26"/>
      <c r="M18" s="26"/>
      <c r="N18" s="26"/>
      <c r="O18" s="26"/>
      <c r="P18" s="26"/>
      <c r="Q18" s="26"/>
      <c r="R18" s="26"/>
      <c r="S18" s="26"/>
      <c r="T18" s="26"/>
      <c r="U18" s="26"/>
      <c r="V18" s="26"/>
      <c r="W18" s="26"/>
      <c r="X18" s="26"/>
      <c r="Y18" s="26"/>
      <c r="Z18" s="26"/>
      <c r="AA18" s="26"/>
      <c r="AB18" s="26"/>
      <c r="AC18" s="26"/>
      <c r="AD18" s="26"/>
      <c r="AE18" s="26"/>
      <c r="AF18" s="26"/>
      <c r="AG18" s="26"/>
      <c r="AH18" s="26"/>
      <c r="AI18" s="26"/>
      <c r="AJ18" s="26"/>
      <c r="AK18" s="26"/>
      <c r="AL18" s="26"/>
      <c r="AM18" s="26"/>
      <c r="AN18" s="26"/>
      <c r="AO18" s="26"/>
      <c r="AP18" s="26"/>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6"/>
      <c r="BO18" s="26"/>
      <c r="BP18" s="26"/>
      <c r="BQ18" s="26"/>
      <c r="BR18" s="26"/>
      <c r="BS18" s="26"/>
      <c r="BT18" s="26"/>
      <c r="BU18" s="26"/>
      <c r="BV18" s="26"/>
      <c r="BW18" s="26"/>
      <c r="BX18" s="26"/>
      <c r="BY18" s="26"/>
      <c r="BZ18" s="26"/>
      <c r="CA18" s="26"/>
      <c r="CB18" s="26"/>
      <c r="CC18" s="26"/>
      <c r="CD18" s="26"/>
      <c r="CE18" s="26"/>
      <c r="CF18" s="26"/>
      <c r="CG18" s="26"/>
      <c r="CH18" s="26"/>
      <c r="CI18" s="26"/>
      <c r="CJ18" s="26"/>
      <c r="CK18" s="26"/>
      <c r="CL18" s="26"/>
      <c r="CM18" s="26"/>
      <c r="CN18" s="26"/>
      <c r="CO18" s="26"/>
      <c r="CP18" s="26"/>
      <c r="CQ18" s="26"/>
      <c r="CR18" s="26"/>
      <c r="CS18" s="26"/>
      <c r="CT18" s="26"/>
      <c r="CU18" s="26"/>
      <c r="CV18" s="26"/>
      <c r="CW18" s="26"/>
      <c r="CX18" s="26"/>
      <c r="CY18" s="26"/>
      <c r="CZ18" s="26"/>
      <c r="DA18" s="26"/>
      <c r="DB18" s="26"/>
      <c r="DC18" s="26"/>
      <c r="DD18" s="26"/>
      <c r="DE18" s="26"/>
      <c r="DF18" s="26"/>
      <c r="DG18" s="26"/>
      <c r="DH18" s="26"/>
      <c r="DI18" s="26"/>
      <c r="DJ18" s="26"/>
      <c r="DK18" s="26"/>
      <c r="DL18" s="26"/>
      <c r="DM18" s="26"/>
      <c r="DN18" s="26"/>
      <c r="DO18" s="26"/>
      <c r="DP18" s="26"/>
      <c r="DQ18" s="26"/>
      <c r="DR18" s="26"/>
      <c r="DS18" s="26"/>
      <c r="DT18" s="26"/>
      <c r="DU18" s="26"/>
      <c r="DV18" s="26"/>
      <c r="DW18" s="26"/>
      <c r="DX18" s="26"/>
      <c r="DY18" s="26"/>
      <c r="DZ18" s="26"/>
      <c r="EA18" s="26"/>
      <c r="EB18" s="26"/>
      <c r="EC18" s="26"/>
      <c r="ED18" s="26"/>
      <c r="EE18" s="26"/>
      <c r="EF18" s="26"/>
      <c r="EG18" s="26"/>
      <c r="EH18" s="26"/>
      <c r="EI18" s="26"/>
      <c r="EJ18" s="26"/>
      <c r="EK18" s="26"/>
      <c r="EL18" s="26"/>
      <c r="EM18" s="26"/>
      <c r="EN18" s="26"/>
      <c r="EO18" s="26"/>
      <c r="EP18" s="26"/>
      <c r="EQ18" s="26"/>
      <c r="ER18" s="26"/>
      <c r="ES18" s="26"/>
      <c r="ET18" s="26"/>
      <c r="EU18" s="26"/>
      <c r="EV18" s="26"/>
      <c r="EW18" s="26"/>
      <c r="EX18" s="26"/>
      <c r="EY18" s="26"/>
      <c r="EZ18" s="26"/>
      <c r="FA18" s="26"/>
      <c r="FB18" s="26"/>
      <c r="FC18" s="26"/>
      <c r="FD18" s="26"/>
      <c r="FE18" s="26"/>
      <c r="FF18" s="26"/>
    </row>
    <row r="19" spans="1:162" s="3" customFormat="1" ht="23.45" customHeight="1" thickBot="1" x14ac:dyDescent="0.3">
      <c r="A19" s="58"/>
      <c r="B19" s="34" t="s">
        <v>152</v>
      </c>
      <c r="C19" s="73" t="s">
        <v>92</v>
      </c>
      <c r="D19" s="16">
        <v>0</v>
      </c>
      <c r="E19" s="43">
        <f>F33</f>
        <v>45057</v>
      </c>
      <c r="F19" s="43">
        <f>E19</f>
        <v>45057</v>
      </c>
      <c r="G19" s="13"/>
      <c r="H19" s="13"/>
      <c r="I19" s="26"/>
      <c r="J19" s="26"/>
      <c r="K19" s="26"/>
      <c r="L19" s="26"/>
      <c r="M19" s="26"/>
      <c r="N19" s="26"/>
      <c r="O19" s="26"/>
      <c r="P19" s="26"/>
      <c r="Q19" s="26"/>
      <c r="R19" s="26"/>
      <c r="S19" s="26"/>
      <c r="T19" s="26"/>
      <c r="U19" s="26"/>
      <c r="V19" s="26"/>
      <c r="W19" s="26"/>
      <c r="X19" s="26"/>
      <c r="Y19" s="26"/>
      <c r="Z19" s="26"/>
      <c r="AA19" s="26"/>
      <c r="AB19" s="26"/>
      <c r="AC19" s="26"/>
      <c r="AD19" s="26"/>
      <c r="AE19" s="26"/>
      <c r="AF19" s="26"/>
      <c r="AG19" s="26"/>
      <c r="AH19" s="26"/>
      <c r="AI19" s="26"/>
      <c r="AJ19" s="26"/>
      <c r="AK19" s="26"/>
      <c r="AL19" s="26"/>
      <c r="AM19" s="26"/>
      <c r="AN19" s="26"/>
      <c r="AO19" s="26"/>
      <c r="AP19" s="26"/>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6"/>
      <c r="BO19" s="26"/>
      <c r="BP19" s="26"/>
      <c r="BQ19" s="26"/>
      <c r="BR19" s="26"/>
      <c r="BS19" s="26"/>
      <c r="BT19" s="26"/>
      <c r="BU19" s="26"/>
      <c r="BV19" s="26"/>
      <c r="BW19" s="26"/>
      <c r="BX19" s="26"/>
      <c r="BY19" s="26"/>
      <c r="BZ19" s="26"/>
      <c r="CA19" s="26"/>
      <c r="CB19" s="26"/>
      <c r="CC19" s="26"/>
      <c r="CD19" s="26"/>
      <c r="CE19" s="26"/>
      <c r="CF19" s="26"/>
      <c r="CG19" s="26"/>
      <c r="CH19" s="26"/>
      <c r="CI19" s="26"/>
      <c r="CJ19" s="26"/>
      <c r="CK19" s="26"/>
      <c r="CL19" s="26"/>
      <c r="CM19" s="26"/>
      <c r="CN19" s="26"/>
      <c r="CO19" s="26"/>
      <c r="CP19" s="26"/>
      <c r="CQ19" s="26"/>
      <c r="CR19" s="26"/>
      <c r="CS19" s="26"/>
      <c r="CT19" s="26"/>
      <c r="CU19" s="26"/>
      <c r="CV19" s="26"/>
      <c r="CW19" s="26"/>
      <c r="CX19" s="26"/>
      <c r="CY19" s="26"/>
      <c r="CZ19" s="26"/>
      <c r="DA19" s="26"/>
      <c r="DB19" s="26"/>
      <c r="DC19" s="26"/>
      <c r="DD19" s="26"/>
      <c r="DE19" s="26"/>
      <c r="DF19" s="26"/>
      <c r="DG19" s="26"/>
      <c r="DH19" s="26"/>
      <c r="DI19" s="26"/>
      <c r="DJ19" s="26"/>
      <c r="DK19" s="26"/>
      <c r="DL19" s="26"/>
      <c r="DM19" s="26"/>
      <c r="DN19" s="26"/>
      <c r="DO19" s="26"/>
      <c r="DP19" s="26"/>
      <c r="DQ19" s="26"/>
      <c r="DR19" s="26"/>
      <c r="DS19" s="26"/>
      <c r="DT19" s="26"/>
      <c r="DU19" s="26"/>
      <c r="DV19" s="26"/>
      <c r="DW19" s="26"/>
      <c r="DX19" s="26"/>
      <c r="DY19" s="26"/>
      <c r="DZ19" s="26"/>
      <c r="EA19" s="26"/>
      <c r="EB19" s="26"/>
      <c r="EC19" s="26"/>
      <c r="ED19" s="26"/>
      <c r="EE19" s="26"/>
      <c r="EF19" s="26"/>
      <c r="EG19" s="26"/>
      <c r="EH19" s="26"/>
      <c r="EI19" s="26"/>
      <c r="EJ19" s="26"/>
      <c r="EK19" s="26"/>
      <c r="EL19" s="26"/>
      <c r="EM19" s="26"/>
      <c r="EN19" s="26"/>
      <c r="EO19" s="26"/>
      <c r="EP19" s="26"/>
      <c r="EQ19" s="26"/>
      <c r="ER19" s="26"/>
      <c r="ES19" s="26"/>
      <c r="ET19" s="26"/>
      <c r="EU19" s="26"/>
      <c r="EV19" s="26"/>
      <c r="EW19" s="26"/>
      <c r="EX19" s="26"/>
      <c r="EY19" s="26"/>
      <c r="EZ19" s="26"/>
      <c r="FA19" s="26"/>
      <c r="FB19" s="26"/>
      <c r="FC19" s="26"/>
      <c r="FD19" s="26"/>
      <c r="FE19" s="26"/>
      <c r="FF19" s="26"/>
    </row>
    <row r="20" spans="1:162" s="3" customFormat="1" ht="30" customHeight="1" thickBot="1" x14ac:dyDescent="0.3">
      <c r="A20" s="57" t="s">
        <v>22</v>
      </c>
      <c r="B20" s="17" t="s">
        <v>124</v>
      </c>
      <c r="C20" s="45" t="s">
        <v>12</v>
      </c>
      <c r="D20" s="18"/>
      <c r="E20" s="44"/>
      <c r="F20" s="45"/>
      <c r="G20" s="13"/>
      <c r="H20" s="13" t="str">
        <f t="shared" si="78"/>
        <v/>
      </c>
      <c r="I20" s="26"/>
      <c r="J20" s="26"/>
      <c r="K20" s="26"/>
      <c r="L20" s="26"/>
      <c r="M20" s="26"/>
      <c r="N20" s="26"/>
      <c r="O20" s="26"/>
      <c r="P20" s="26"/>
      <c r="Q20" s="26"/>
      <c r="R20" s="26"/>
      <c r="S20" s="26"/>
      <c r="T20" s="26"/>
      <c r="U20" s="26"/>
      <c r="V20" s="26"/>
      <c r="W20" s="26"/>
      <c r="X20" s="26"/>
      <c r="Y20" s="26"/>
      <c r="Z20" s="26"/>
      <c r="AA20" s="26"/>
      <c r="AB20" s="26"/>
      <c r="AC20" s="26"/>
      <c r="AD20" s="26"/>
      <c r="AE20" s="26"/>
      <c r="AF20" s="26"/>
      <c r="AG20" s="26"/>
      <c r="AH20" s="26"/>
      <c r="AI20" s="26"/>
      <c r="AJ20" s="26"/>
      <c r="AK20" s="26"/>
      <c r="AL20" s="26"/>
      <c r="AM20" s="26"/>
      <c r="AN20" s="26"/>
      <c r="AO20" s="26"/>
      <c r="AP20" s="26"/>
      <c r="AQ20" s="26"/>
      <c r="AR20" s="26"/>
      <c r="AS20" s="26"/>
      <c r="AT20" s="26"/>
      <c r="AU20" s="26"/>
      <c r="AV20" s="26"/>
      <c r="AW20" s="26"/>
      <c r="AX20" s="26"/>
      <c r="AY20" s="26"/>
      <c r="AZ20" s="26"/>
      <c r="BA20" s="26"/>
      <c r="BB20" s="26"/>
      <c r="BC20" s="26"/>
      <c r="BD20" s="26"/>
      <c r="BE20" s="26"/>
      <c r="BF20" s="26"/>
      <c r="BG20" s="26"/>
      <c r="BH20" s="26"/>
      <c r="BI20" s="26"/>
      <c r="BJ20" s="26"/>
      <c r="BK20" s="26"/>
      <c r="BL20" s="26"/>
      <c r="BM20" s="26"/>
      <c r="BN20" s="26"/>
      <c r="BO20" s="26"/>
      <c r="BP20" s="26"/>
      <c r="BQ20" s="26"/>
      <c r="BR20" s="26"/>
      <c r="BS20" s="26"/>
      <c r="BT20" s="26"/>
      <c r="BU20" s="26"/>
      <c r="BV20" s="26"/>
      <c r="BW20" s="26"/>
      <c r="BX20" s="26"/>
      <c r="BY20" s="26"/>
      <c r="BZ20" s="26"/>
      <c r="CA20" s="26"/>
      <c r="CB20" s="26"/>
      <c r="CC20" s="26"/>
      <c r="CD20" s="26"/>
      <c r="CE20" s="26"/>
      <c r="CF20" s="26"/>
      <c r="CG20" s="26"/>
      <c r="CH20" s="26"/>
      <c r="CI20" s="26"/>
      <c r="CJ20" s="26"/>
      <c r="CK20" s="26"/>
      <c r="CL20" s="26"/>
      <c r="CM20" s="26"/>
      <c r="CN20" s="26"/>
      <c r="CO20" s="26"/>
      <c r="CP20" s="26"/>
      <c r="CQ20" s="26"/>
      <c r="CR20" s="26"/>
      <c r="CS20" s="26"/>
      <c r="CT20" s="26"/>
      <c r="CU20" s="26"/>
      <c r="CV20" s="26"/>
      <c r="CW20" s="26"/>
      <c r="CX20" s="26"/>
      <c r="CY20" s="26"/>
      <c r="CZ20" s="26"/>
      <c r="DA20" s="26"/>
      <c r="DB20" s="26"/>
      <c r="DC20" s="26"/>
      <c r="DD20" s="26"/>
      <c r="DE20" s="26"/>
      <c r="DF20" s="26"/>
      <c r="DG20" s="26"/>
      <c r="DH20" s="26"/>
      <c r="DI20" s="26"/>
      <c r="DJ20" s="26"/>
      <c r="DK20" s="26"/>
      <c r="DL20" s="26"/>
      <c r="DM20" s="26"/>
      <c r="DN20" s="26"/>
      <c r="DO20" s="26"/>
      <c r="DP20" s="26"/>
      <c r="DQ20" s="26"/>
      <c r="DR20" s="26"/>
      <c r="DS20" s="26"/>
      <c r="DT20" s="26"/>
      <c r="DU20" s="26"/>
      <c r="DV20" s="26"/>
      <c r="DW20" s="26"/>
      <c r="DX20" s="26"/>
      <c r="DY20" s="26"/>
      <c r="DZ20" s="26"/>
      <c r="EA20" s="26"/>
      <c r="EB20" s="26"/>
      <c r="EC20" s="26"/>
      <c r="ED20" s="26"/>
      <c r="EE20" s="26"/>
      <c r="EF20" s="26"/>
      <c r="EG20" s="26"/>
      <c r="EH20" s="26"/>
      <c r="EI20" s="26"/>
      <c r="EJ20" s="26"/>
      <c r="EK20" s="26"/>
      <c r="EL20" s="26"/>
      <c r="EM20" s="26"/>
      <c r="EN20" s="26"/>
      <c r="EO20" s="26"/>
      <c r="EP20" s="26"/>
      <c r="EQ20" s="26"/>
      <c r="ER20" s="26"/>
      <c r="ES20" s="26"/>
      <c r="ET20" s="26"/>
      <c r="EU20" s="26"/>
      <c r="EV20" s="26"/>
      <c r="EW20" s="26"/>
      <c r="EX20" s="26"/>
      <c r="EY20" s="26"/>
      <c r="EZ20" s="26"/>
      <c r="FA20" s="26"/>
      <c r="FB20" s="26"/>
      <c r="FC20" s="26"/>
      <c r="FD20" s="26"/>
      <c r="FE20" s="26"/>
      <c r="FF20" s="26"/>
    </row>
    <row r="21" spans="1:162" s="3" customFormat="1" ht="30" customHeight="1" thickBot="1" x14ac:dyDescent="0.3">
      <c r="A21" s="57"/>
      <c r="B21" s="35" t="s">
        <v>132</v>
      </c>
      <c r="C21" s="75" t="s">
        <v>32</v>
      </c>
      <c r="D21" s="19">
        <v>0</v>
      </c>
      <c r="E21" s="46">
        <f>E13</f>
        <v>45005</v>
      </c>
      <c r="F21" s="46">
        <f>E21+2</f>
        <v>45007</v>
      </c>
      <c r="G21" s="13"/>
      <c r="H21" s="13">
        <f t="shared" si="78"/>
        <v>3</v>
      </c>
      <c r="I21" s="26"/>
      <c r="J21" s="26"/>
      <c r="K21" s="26"/>
      <c r="L21" s="26"/>
      <c r="M21" s="26"/>
      <c r="N21" s="26"/>
      <c r="O21" s="26"/>
      <c r="P21" s="26"/>
      <c r="Q21" s="26"/>
      <c r="R21" s="26"/>
      <c r="S21" s="26"/>
      <c r="T21" s="26"/>
      <c r="U21" s="26"/>
      <c r="V21" s="26"/>
      <c r="W21" s="26"/>
      <c r="X21" s="26"/>
      <c r="Y21" s="26"/>
      <c r="Z21" s="26"/>
      <c r="AA21" s="26"/>
      <c r="AB21" s="26"/>
      <c r="AC21" s="26"/>
      <c r="AD21" s="26"/>
      <c r="AE21" s="26"/>
      <c r="AF21" s="26"/>
      <c r="AG21" s="26"/>
      <c r="AH21" s="26"/>
      <c r="AI21" s="26"/>
      <c r="AJ21" s="26"/>
      <c r="AK21" s="26"/>
      <c r="AL21" s="26"/>
      <c r="AM21" s="26"/>
      <c r="AN21" s="26"/>
      <c r="AO21" s="26"/>
      <c r="AP21" s="26"/>
      <c r="AQ21" s="26"/>
      <c r="AR21" s="26"/>
      <c r="AS21" s="26"/>
      <c r="AT21" s="26"/>
      <c r="AU21" s="26"/>
      <c r="AV21" s="26"/>
      <c r="AW21" s="26"/>
      <c r="AX21" s="26"/>
      <c r="AY21" s="26"/>
      <c r="AZ21" s="26"/>
      <c r="BA21" s="26"/>
      <c r="BB21" s="26"/>
      <c r="BC21" s="26"/>
      <c r="BD21" s="26"/>
      <c r="BE21" s="26"/>
      <c r="BF21" s="26"/>
      <c r="BG21" s="26"/>
      <c r="BH21" s="26"/>
      <c r="BI21" s="26"/>
      <c r="BJ21" s="26"/>
      <c r="BK21" s="26"/>
      <c r="BL21" s="26"/>
      <c r="BM21" s="26"/>
      <c r="BN21" s="26"/>
      <c r="BO21" s="26"/>
      <c r="BP21" s="26"/>
      <c r="BQ21" s="26"/>
      <c r="BR21" s="26"/>
      <c r="BS21" s="26"/>
      <c r="BT21" s="26"/>
      <c r="BU21" s="26"/>
      <c r="BV21" s="26"/>
      <c r="BW21" s="26"/>
      <c r="BX21" s="26"/>
      <c r="BY21" s="26"/>
      <c r="BZ21" s="26"/>
      <c r="CA21" s="26"/>
      <c r="CB21" s="26"/>
      <c r="CC21" s="26"/>
      <c r="CD21" s="26"/>
      <c r="CE21" s="26"/>
      <c r="CF21" s="26"/>
      <c r="CG21" s="26"/>
      <c r="CH21" s="26"/>
      <c r="CI21" s="26"/>
      <c r="CJ21" s="26"/>
      <c r="CK21" s="26"/>
      <c r="CL21" s="26"/>
      <c r="CM21" s="26"/>
      <c r="CN21" s="26"/>
      <c r="CO21" s="26"/>
      <c r="CP21" s="26"/>
      <c r="CQ21" s="26"/>
      <c r="CR21" s="26"/>
      <c r="CS21" s="26"/>
      <c r="CT21" s="26"/>
      <c r="CU21" s="26"/>
      <c r="CV21" s="26"/>
      <c r="CW21" s="26"/>
      <c r="CX21" s="26"/>
      <c r="CY21" s="26"/>
      <c r="CZ21" s="26"/>
      <c r="DA21" s="26"/>
      <c r="DB21" s="26"/>
      <c r="DC21" s="26"/>
      <c r="DD21" s="26"/>
      <c r="DE21" s="26"/>
      <c r="DF21" s="26"/>
      <c r="DG21" s="26"/>
      <c r="DH21" s="26"/>
      <c r="DI21" s="26"/>
      <c r="DJ21" s="26"/>
      <c r="DK21" s="26"/>
      <c r="DL21" s="26"/>
      <c r="DM21" s="26"/>
      <c r="DN21" s="26"/>
      <c r="DO21" s="26"/>
      <c r="DP21" s="26"/>
      <c r="DQ21" s="26"/>
      <c r="DR21" s="26"/>
      <c r="DS21" s="26"/>
      <c r="DT21" s="26"/>
      <c r="DU21" s="26"/>
      <c r="DV21" s="26"/>
      <c r="DW21" s="26"/>
      <c r="DX21" s="26"/>
      <c r="DY21" s="26"/>
      <c r="DZ21" s="26"/>
      <c r="EA21" s="26"/>
      <c r="EB21" s="26"/>
      <c r="EC21" s="26"/>
      <c r="ED21" s="26"/>
      <c r="EE21" s="26"/>
      <c r="EF21" s="26"/>
      <c r="EG21" s="26"/>
      <c r="EH21" s="26"/>
      <c r="EI21" s="26"/>
      <c r="EJ21" s="26"/>
      <c r="EK21" s="26"/>
      <c r="EL21" s="26"/>
      <c r="EM21" s="26"/>
      <c r="EN21" s="26"/>
      <c r="EO21" s="26"/>
      <c r="EP21" s="26"/>
      <c r="EQ21" s="26"/>
      <c r="ER21" s="26"/>
      <c r="ES21" s="26"/>
      <c r="ET21" s="26"/>
      <c r="EU21" s="26"/>
      <c r="EV21" s="26"/>
      <c r="EW21" s="26"/>
      <c r="EX21" s="26"/>
      <c r="EY21" s="26"/>
      <c r="EZ21" s="26"/>
      <c r="FA21" s="26"/>
      <c r="FB21" s="26"/>
      <c r="FC21" s="26"/>
      <c r="FD21" s="26"/>
      <c r="FE21" s="26"/>
      <c r="FF21" s="26"/>
    </row>
    <row r="22" spans="1:162" s="3" customFormat="1" ht="30" customHeight="1" thickBot="1" x14ac:dyDescent="0.3">
      <c r="A22" s="58"/>
      <c r="B22" s="35" t="s">
        <v>134</v>
      </c>
      <c r="C22" s="74" t="s">
        <v>96</v>
      </c>
      <c r="D22" s="19">
        <v>0</v>
      </c>
      <c r="E22" s="46">
        <f>F14</f>
        <v>45008</v>
      </c>
      <c r="F22" s="46">
        <f>E22+7</f>
        <v>45015</v>
      </c>
      <c r="G22" s="13"/>
      <c r="H22" s="13">
        <f t="shared" si="78"/>
        <v>8</v>
      </c>
      <c r="I22" s="26"/>
      <c r="J22" s="26"/>
      <c r="K22" s="26"/>
      <c r="L22" s="26"/>
      <c r="M22" s="26"/>
      <c r="N22" s="26"/>
      <c r="O22" s="26"/>
      <c r="P22" s="26"/>
      <c r="Q22" s="26"/>
      <c r="R22" s="26"/>
      <c r="S22" s="26"/>
      <c r="T22" s="26"/>
      <c r="U22" s="27"/>
      <c r="V22" s="27"/>
      <c r="W22" s="26"/>
      <c r="X22" s="26"/>
      <c r="Y22" s="26"/>
      <c r="Z22" s="26"/>
      <c r="AA22" s="26"/>
      <c r="AB22" s="26"/>
      <c r="AC22" s="26"/>
      <c r="AD22" s="26"/>
      <c r="AE22" s="26"/>
      <c r="AF22" s="26"/>
      <c r="AG22" s="26"/>
      <c r="AH22" s="26"/>
      <c r="AI22" s="26"/>
      <c r="AJ22" s="26"/>
      <c r="AK22" s="26"/>
      <c r="AL22" s="26"/>
      <c r="AM22" s="26"/>
      <c r="AN22" s="26"/>
      <c r="AO22" s="26"/>
      <c r="AP22" s="26"/>
      <c r="AQ22" s="26"/>
      <c r="AR22" s="26"/>
      <c r="AS22" s="26"/>
      <c r="AT22" s="26"/>
      <c r="AU22" s="26"/>
      <c r="AV22" s="26"/>
      <c r="AW22" s="26"/>
      <c r="AX22" s="26"/>
      <c r="AY22" s="26"/>
      <c r="AZ22" s="26"/>
      <c r="BA22" s="26"/>
      <c r="BB22" s="26"/>
      <c r="BC22" s="26"/>
      <c r="BD22" s="26"/>
      <c r="BE22" s="26"/>
      <c r="BF22" s="26"/>
      <c r="BG22" s="26"/>
      <c r="BH22" s="26"/>
      <c r="BI22" s="26"/>
      <c r="BJ22" s="26"/>
      <c r="BK22" s="26"/>
      <c r="BL22" s="26"/>
      <c r="BM22" s="26"/>
      <c r="BN22" s="26"/>
      <c r="BO22" s="26"/>
      <c r="BP22" s="26"/>
      <c r="BQ22" s="26"/>
      <c r="BR22" s="26"/>
      <c r="BS22" s="26"/>
      <c r="BT22" s="26"/>
      <c r="BU22" s="26"/>
      <c r="BV22" s="26"/>
      <c r="BW22" s="26"/>
      <c r="BX22" s="26"/>
      <c r="BY22" s="26"/>
      <c r="BZ22" s="26"/>
      <c r="CA22" s="26"/>
      <c r="CB22" s="26"/>
      <c r="CC22" s="26"/>
      <c r="CD22" s="26"/>
      <c r="CE22" s="26"/>
      <c r="CF22" s="26"/>
      <c r="CG22" s="26"/>
      <c r="CH22" s="26"/>
      <c r="CI22" s="26"/>
      <c r="CJ22" s="26"/>
      <c r="CK22" s="26"/>
      <c r="CL22" s="26"/>
      <c r="CM22" s="26"/>
      <c r="CN22" s="26"/>
      <c r="CO22" s="26"/>
      <c r="CP22" s="26"/>
      <c r="CQ22" s="26"/>
      <c r="CR22" s="26"/>
      <c r="CS22" s="26"/>
      <c r="CT22" s="26"/>
      <c r="CU22" s="26"/>
      <c r="CV22" s="26"/>
      <c r="CW22" s="26"/>
      <c r="CX22" s="26"/>
      <c r="CY22" s="26"/>
      <c r="CZ22" s="26"/>
      <c r="DA22" s="26"/>
      <c r="DB22" s="26"/>
      <c r="DC22" s="26"/>
      <c r="DD22" s="26"/>
      <c r="DE22" s="26"/>
      <c r="DF22" s="26"/>
      <c r="DG22" s="26"/>
      <c r="DH22" s="26"/>
      <c r="DI22" s="26"/>
      <c r="DJ22" s="26"/>
      <c r="DK22" s="26"/>
      <c r="DL22" s="26"/>
      <c r="DM22" s="26"/>
      <c r="DN22" s="26"/>
      <c r="DO22" s="26"/>
      <c r="DP22" s="26"/>
      <c r="DQ22" s="26"/>
      <c r="DR22" s="26"/>
      <c r="DS22" s="26"/>
      <c r="DT22" s="26"/>
      <c r="DU22" s="26"/>
      <c r="DV22" s="26"/>
      <c r="DW22" s="26"/>
      <c r="DX22" s="26"/>
      <c r="DY22" s="26"/>
      <c r="DZ22" s="26"/>
      <c r="EA22" s="26"/>
      <c r="EB22" s="26"/>
      <c r="EC22" s="26"/>
      <c r="ED22" s="26"/>
      <c r="EE22" s="26"/>
      <c r="EF22" s="26"/>
      <c r="EG22" s="26"/>
      <c r="EH22" s="26"/>
      <c r="EI22" s="26"/>
      <c r="EJ22" s="26"/>
      <c r="EK22" s="26"/>
      <c r="EL22" s="26"/>
      <c r="EM22" s="26"/>
      <c r="EN22" s="26"/>
      <c r="EO22" s="26"/>
      <c r="EP22" s="26"/>
      <c r="EQ22" s="26"/>
      <c r="ER22" s="26"/>
      <c r="ES22" s="26"/>
      <c r="ET22" s="26"/>
      <c r="EU22" s="26"/>
      <c r="EV22" s="26"/>
      <c r="EW22" s="26"/>
      <c r="EX22" s="26"/>
      <c r="EY22" s="26"/>
      <c r="EZ22" s="26"/>
      <c r="FA22" s="26"/>
      <c r="FB22" s="26"/>
      <c r="FC22" s="26"/>
      <c r="FD22" s="26"/>
      <c r="FE22" s="26"/>
      <c r="FF22" s="26"/>
    </row>
    <row r="23" spans="1:162" s="3" customFormat="1" ht="30" customHeight="1" thickBot="1" x14ac:dyDescent="0.3">
      <c r="A23" s="58"/>
      <c r="B23" s="35" t="s">
        <v>135</v>
      </c>
      <c r="C23" s="75" t="s">
        <v>90</v>
      </c>
      <c r="D23" s="19">
        <v>0</v>
      </c>
      <c r="E23" s="46">
        <f>F22</f>
        <v>45015</v>
      </c>
      <c r="F23" s="46">
        <f>E23+3</f>
        <v>45018</v>
      </c>
      <c r="G23" s="13"/>
      <c r="H23" s="13">
        <f t="shared" si="78"/>
        <v>4</v>
      </c>
      <c r="I23" s="26"/>
      <c r="J23" s="26"/>
      <c r="K23" s="26"/>
      <c r="L23" s="26"/>
      <c r="M23" s="26"/>
      <c r="N23" s="26"/>
      <c r="O23" s="26"/>
      <c r="P23" s="26"/>
      <c r="Q23" s="26"/>
      <c r="R23" s="26"/>
      <c r="S23" s="26"/>
      <c r="T23" s="26"/>
      <c r="U23" s="26"/>
      <c r="V23" s="26"/>
      <c r="W23" s="26"/>
      <c r="X23" s="26"/>
      <c r="Y23" s="26"/>
      <c r="Z23" s="26"/>
      <c r="AA23" s="26"/>
      <c r="AB23" s="26"/>
      <c r="AC23" s="26"/>
      <c r="AD23" s="26"/>
      <c r="AE23" s="26"/>
      <c r="AF23" s="26"/>
      <c r="AG23" s="26"/>
      <c r="AH23" s="26"/>
      <c r="AI23" s="26"/>
      <c r="AJ23" s="26"/>
      <c r="AK23" s="26"/>
      <c r="AL23" s="26"/>
      <c r="AM23" s="26"/>
      <c r="AN23" s="26"/>
      <c r="AO23" s="26"/>
      <c r="AP23" s="26"/>
      <c r="AQ23" s="26"/>
      <c r="AR23" s="26"/>
      <c r="AS23" s="26"/>
      <c r="AT23" s="26"/>
      <c r="AU23" s="26"/>
      <c r="AV23" s="26"/>
      <c r="AW23" s="26"/>
      <c r="AX23" s="26"/>
      <c r="AY23" s="26"/>
      <c r="AZ23" s="26"/>
      <c r="BA23" s="26"/>
      <c r="BB23" s="26"/>
      <c r="BC23" s="26"/>
      <c r="BD23" s="26"/>
      <c r="BE23" s="26"/>
      <c r="BF23" s="26"/>
      <c r="BG23" s="26"/>
      <c r="BH23" s="26"/>
      <c r="BI23" s="26"/>
      <c r="BJ23" s="26"/>
      <c r="BK23" s="26"/>
      <c r="BL23" s="26"/>
      <c r="BM23" s="26"/>
      <c r="BN23" s="26"/>
      <c r="BO23" s="26"/>
      <c r="BP23" s="26"/>
      <c r="BQ23" s="26"/>
      <c r="BR23" s="26"/>
      <c r="BS23" s="26"/>
      <c r="BT23" s="26"/>
      <c r="BU23" s="26"/>
      <c r="BV23" s="26"/>
      <c r="BW23" s="26"/>
      <c r="BX23" s="26"/>
      <c r="BY23" s="26"/>
      <c r="BZ23" s="26"/>
      <c r="CA23" s="26"/>
      <c r="CB23" s="26"/>
      <c r="CC23" s="26"/>
      <c r="CD23" s="26"/>
      <c r="CE23" s="26"/>
      <c r="CF23" s="26"/>
      <c r="CG23" s="26"/>
      <c r="CH23" s="26"/>
      <c r="CI23" s="26"/>
      <c r="CJ23" s="26"/>
      <c r="CK23" s="26"/>
      <c r="CL23" s="26"/>
      <c r="CM23" s="26"/>
      <c r="CN23" s="26"/>
      <c r="CO23" s="26"/>
      <c r="CP23" s="26"/>
      <c r="CQ23" s="26"/>
      <c r="CR23" s="26"/>
      <c r="CS23" s="26"/>
      <c r="CT23" s="26"/>
      <c r="CU23" s="26"/>
      <c r="CV23" s="26"/>
      <c r="CW23" s="26"/>
      <c r="CX23" s="26"/>
      <c r="CY23" s="26"/>
      <c r="CZ23" s="26"/>
      <c r="DA23" s="26"/>
      <c r="DB23" s="26"/>
      <c r="DC23" s="26"/>
      <c r="DD23" s="26"/>
      <c r="DE23" s="26"/>
      <c r="DF23" s="26"/>
      <c r="DG23" s="26"/>
      <c r="DH23" s="26"/>
      <c r="DI23" s="26"/>
      <c r="DJ23" s="26"/>
      <c r="DK23" s="26"/>
      <c r="DL23" s="26"/>
      <c r="DM23" s="26"/>
      <c r="DN23" s="26"/>
      <c r="DO23" s="26"/>
      <c r="DP23" s="26"/>
      <c r="DQ23" s="26"/>
      <c r="DR23" s="26"/>
      <c r="DS23" s="26"/>
      <c r="DT23" s="26"/>
      <c r="DU23" s="26"/>
      <c r="DV23" s="26"/>
      <c r="DW23" s="26"/>
      <c r="DX23" s="26"/>
      <c r="DY23" s="26"/>
      <c r="DZ23" s="26"/>
      <c r="EA23" s="26"/>
      <c r="EB23" s="26"/>
      <c r="EC23" s="26"/>
      <c r="ED23" s="26"/>
      <c r="EE23" s="26"/>
      <c r="EF23" s="26"/>
      <c r="EG23" s="26"/>
      <c r="EH23" s="26"/>
      <c r="EI23" s="26"/>
      <c r="EJ23" s="26"/>
      <c r="EK23" s="26"/>
      <c r="EL23" s="26"/>
      <c r="EM23" s="26"/>
      <c r="EN23" s="26"/>
      <c r="EO23" s="26"/>
      <c r="EP23" s="26"/>
      <c r="EQ23" s="26"/>
      <c r="ER23" s="26"/>
      <c r="ES23" s="26"/>
      <c r="ET23" s="26"/>
      <c r="EU23" s="26"/>
      <c r="EV23" s="26"/>
      <c r="EW23" s="26"/>
      <c r="EX23" s="26"/>
      <c r="EY23" s="26"/>
      <c r="EZ23" s="26"/>
      <c r="FA23" s="26"/>
      <c r="FB23" s="26"/>
      <c r="FC23" s="26"/>
      <c r="FD23" s="26"/>
      <c r="FE23" s="26"/>
      <c r="FF23" s="26"/>
    </row>
    <row r="24" spans="1:162" s="3" customFormat="1" ht="30" customHeight="1" thickBot="1" x14ac:dyDescent="0.3">
      <c r="A24" s="58"/>
      <c r="B24" s="35" t="s">
        <v>138</v>
      </c>
      <c r="C24" s="75" t="s">
        <v>90</v>
      </c>
      <c r="D24" s="19">
        <v>0</v>
      </c>
      <c r="E24" s="46">
        <f>F16</f>
        <v>45024</v>
      </c>
      <c r="F24" s="46">
        <f>E24+4</f>
        <v>45028</v>
      </c>
      <c r="G24" s="13"/>
      <c r="H24" s="13">
        <f t="shared" si="78"/>
        <v>5</v>
      </c>
      <c r="I24" s="26"/>
      <c r="J24" s="26"/>
      <c r="K24" s="26"/>
      <c r="L24" s="26"/>
      <c r="M24" s="26"/>
      <c r="N24" s="26"/>
      <c r="O24" s="26"/>
      <c r="P24" s="26"/>
      <c r="Q24" s="26"/>
      <c r="R24" s="26"/>
      <c r="S24" s="26"/>
      <c r="T24" s="26"/>
      <c r="U24" s="26"/>
      <c r="V24" s="26"/>
      <c r="W24" s="26"/>
      <c r="X24" s="26"/>
      <c r="Y24" s="27"/>
      <c r="Z24" s="26"/>
      <c r="AA24" s="26"/>
      <c r="AB24" s="26"/>
      <c r="AC24" s="26"/>
      <c r="AD24" s="26"/>
      <c r="AE24" s="26"/>
      <c r="AF24" s="26"/>
      <c r="AG24" s="26"/>
      <c r="AH24" s="26"/>
      <c r="AI24" s="26"/>
      <c r="AJ24" s="26"/>
      <c r="AK24" s="26"/>
      <c r="AL24" s="26"/>
      <c r="AM24" s="26"/>
      <c r="AN24" s="26"/>
      <c r="AO24" s="26"/>
      <c r="AP24" s="26"/>
      <c r="AQ24" s="26"/>
      <c r="AR24" s="26"/>
      <c r="AS24" s="26"/>
      <c r="AT24" s="26"/>
      <c r="AU24" s="26"/>
      <c r="AV24" s="26"/>
      <c r="AW24" s="26"/>
      <c r="AX24" s="26"/>
      <c r="AY24" s="26"/>
      <c r="AZ24" s="26"/>
      <c r="BA24" s="26"/>
      <c r="BB24" s="26"/>
      <c r="BC24" s="26"/>
      <c r="BD24" s="26"/>
      <c r="BE24" s="26"/>
      <c r="BF24" s="26"/>
      <c r="BG24" s="26"/>
      <c r="BH24" s="26"/>
      <c r="BI24" s="26"/>
      <c r="BJ24" s="26"/>
      <c r="BK24" s="26"/>
      <c r="BL24" s="26"/>
      <c r="BM24" s="26"/>
      <c r="BN24" s="26"/>
      <c r="BO24" s="26"/>
      <c r="BP24" s="26"/>
      <c r="BQ24" s="26"/>
      <c r="BR24" s="26"/>
      <c r="BS24" s="26"/>
      <c r="BT24" s="26"/>
      <c r="BU24" s="26"/>
      <c r="BV24" s="26"/>
      <c r="BW24" s="26"/>
      <c r="BX24" s="26"/>
      <c r="BY24" s="26"/>
      <c r="BZ24" s="26"/>
      <c r="CA24" s="26"/>
      <c r="CB24" s="26"/>
      <c r="CC24" s="26"/>
      <c r="CD24" s="26"/>
      <c r="CE24" s="26"/>
      <c r="CF24" s="26"/>
      <c r="CG24" s="26"/>
      <c r="CH24" s="26"/>
      <c r="CI24" s="26"/>
      <c r="CJ24" s="26"/>
      <c r="CK24" s="26"/>
      <c r="CL24" s="26"/>
      <c r="CM24" s="26"/>
      <c r="CN24" s="26"/>
      <c r="CO24" s="26"/>
      <c r="CP24" s="26"/>
      <c r="CQ24" s="26"/>
      <c r="CR24" s="26"/>
      <c r="CS24" s="26"/>
      <c r="CT24" s="26"/>
      <c r="CU24" s="26"/>
      <c r="CV24" s="26"/>
      <c r="CW24" s="26"/>
      <c r="CX24" s="26"/>
      <c r="CY24" s="26"/>
      <c r="CZ24" s="26"/>
      <c r="DA24" s="26"/>
      <c r="DB24" s="26"/>
      <c r="DC24" s="26"/>
      <c r="DD24" s="26"/>
      <c r="DE24" s="26"/>
      <c r="DF24" s="26"/>
      <c r="DG24" s="26"/>
      <c r="DH24" s="26"/>
      <c r="DI24" s="26"/>
      <c r="DJ24" s="26"/>
      <c r="DK24" s="26"/>
      <c r="DL24" s="26"/>
      <c r="DM24" s="26"/>
      <c r="DN24" s="26"/>
      <c r="DO24" s="26"/>
      <c r="DP24" s="26"/>
      <c r="DQ24" s="26"/>
      <c r="DR24" s="26"/>
      <c r="DS24" s="26"/>
      <c r="DT24" s="26"/>
      <c r="DU24" s="26"/>
      <c r="DV24" s="26"/>
      <c r="DW24" s="26"/>
      <c r="DX24" s="26"/>
      <c r="DY24" s="26"/>
      <c r="DZ24" s="26"/>
      <c r="EA24" s="26"/>
      <c r="EB24" s="26"/>
      <c r="EC24" s="26"/>
      <c r="ED24" s="26"/>
      <c r="EE24" s="26"/>
      <c r="EF24" s="26"/>
      <c r="EG24" s="26"/>
      <c r="EH24" s="26"/>
      <c r="EI24" s="26"/>
      <c r="EJ24" s="26"/>
      <c r="EK24" s="26"/>
      <c r="EL24" s="26"/>
      <c r="EM24" s="26"/>
      <c r="EN24" s="26"/>
      <c r="EO24" s="26"/>
      <c r="EP24" s="26"/>
      <c r="EQ24" s="26"/>
      <c r="ER24" s="26"/>
      <c r="ES24" s="26"/>
      <c r="ET24" s="26"/>
      <c r="EU24" s="26"/>
      <c r="EV24" s="26"/>
      <c r="EW24" s="26"/>
      <c r="EX24" s="26"/>
      <c r="EY24" s="26"/>
      <c r="EZ24" s="26"/>
      <c r="FA24" s="26"/>
      <c r="FB24" s="26"/>
      <c r="FC24" s="26"/>
      <c r="FD24" s="26"/>
      <c r="FE24" s="26"/>
      <c r="FF24" s="26"/>
    </row>
    <row r="25" spans="1:162" s="3" customFormat="1" ht="30" customHeight="1" thickBot="1" x14ac:dyDescent="0.3">
      <c r="A25" s="58"/>
      <c r="B25" s="35" t="s">
        <v>140</v>
      </c>
      <c r="C25" s="75" t="s">
        <v>32</v>
      </c>
      <c r="D25" s="19">
        <v>0</v>
      </c>
      <c r="E25" s="46">
        <f>F36</f>
        <v>45031</v>
      </c>
      <c r="F25" s="46">
        <f>E25+4</f>
        <v>45035</v>
      </c>
      <c r="G25" s="13"/>
      <c r="H25" s="13">
        <f t="shared" si="78"/>
        <v>5</v>
      </c>
      <c r="I25" s="26"/>
      <c r="J25" s="26"/>
      <c r="K25" s="26"/>
      <c r="L25" s="26"/>
      <c r="M25" s="26"/>
      <c r="N25" s="26"/>
      <c r="O25" s="26"/>
      <c r="P25" s="26"/>
      <c r="Q25" s="26"/>
      <c r="R25" s="26"/>
      <c r="S25" s="26"/>
      <c r="T25" s="26"/>
      <c r="U25" s="26"/>
      <c r="V25" s="26"/>
      <c r="W25" s="26"/>
      <c r="X25" s="26"/>
      <c r="Y25" s="26"/>
      <c r="Z25" s="26"/>
      <c r="AA25" s="26"/>
      <c r="AB25" s="26"/>
      <c r="AC25" s="26"/>
      <c r="AD25" s="26"/>
      <c r="AE25" s="26"/>
      <c r="AF25" s="26"/>
      <c r="AG25" s="26"/>
      <c r="AH25" s="26"/>
      <c r="AI25" s="26"/>
      <c r="AJ25" s="26"/>
      <c r="AK25" s="26"/>
      <c r="AL25" s="26"/>
      <c r="AM25" s="26"/>
      <c r="AN25" s="26"/>
      <c r="AO25" s="26"/>
      <c r="AP25" s="26"/>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26"/>
      <c r="BQ25" s="26"/>
      <c r="BR25" s="26"/>
      <c r="BS25" s="26"/>
      <c r="BT25" s="26"/>
      <c r="BU25" s="26"/>
      <c r="BV25" s="26"/>
      <c r="BW25" s="26"/>
      <c r="BX25" s="26"/>
      <c r="BY25" s="26"/>
      <c r="BZ25" s="26"/>
      <c r="CA25" s="26"/>
      <c r="CB25" s="26"/>
      <c r="CC25" s="26"/>
      <c r="CD25" s="26"/>
      <c r="CE25" s="26"/>
      <c r="CF25" s="26"/>
      <c r="CG25" s="26"/>
      <c r="CH25" s="26"/>
      <c r="CI25" s="26"/>
      <c r="CJ25" s="26"/>
      <c r="CK25" s="26"/>
      <c r="CL25" s="26"/>
      <c r="CM25" s="26"/>
      <c r="CN25" s="26"/>
      <c r="CO25" s="26"/>
      <c r="CP25" s="26"/>
      <c r="CQ25" s="26"/>
      <c r="CR25" s="26"/>
      <c r="CS25" s="26"/>
      <c r="CT25" s="26"/>
      <c r="CU25" s="26"/>
      <c r="CV25" s="26"/>
      <c r="CW25" s="26"/>
      <c r="CX25" s="26"/>
      <c r="CY25" s="26"/>
      <c r="CZ25" s="26"/>
      <c r="DA25" s="26"/>
      <c r="DB25" s="26"/>
      <c r="DC25" s="26"/>
      <c r="DD25" s="26"/>
      <c r="DE25" s="26"/>
      <c r="DF25" s="26"/>
      <c r="DG25" s="26"/>
      <c r="DH25" s="26"/>
      <c r="DI25" s="26"/>
      <c r="DJ25" s="26"/>
      <c r="DK25" s="26"/>
      <c r="DL25" s="26"/>
      <c r="DM25" s="26"/>
      <c r="DN25" s="26"/>
      <c r="DO25" s="26"/>
      <c r="DP25" s="26"/>
      <c r="DQ25" s="26"/>
      <c r="DR25" s="26"/>
      <c r="DS25" s="26"/>
      <c r="DT25" s="26"/>
      <c r="DU25" s="26"/>
      <c r="DV25" s="26"/>
      <c r="DW25" s="26"/>
      <c r="DX25" s="26"/>
      <c r="DY25" s="26"/>
      <c r="DZ25" s="26"/>
      <c r="EA25" s="26"/>
      <c r="EB25" s="26"/>
      <c r="EC25" s="26"/>
      <c r="ED25" s="26"/>
      <c r="EE25" s="26"/>
      <c r="EF25" s="26"/>
      <c r="EG25" s="26"/>
      <c r="EH25" s="26"/>
      <c r="EI25" s="26"/>
      <c r="EJ25" s="26"/>
      <c r="EK25" s="26"/>
      <c r="EL25" s="26"/>
      <c r="EM25" s="26"/>
      <c r="EN25" s="26"/>
      <c r="EO25" s="26"/>
      <c r="EP25" s="26"/>
      <c r="EQ25" s="26"/>
      <c r="ER25" s="26"/>
      <c r="ES25" s="26"/>
      <c r="ET25" s="26"/>
      <c r="EU25" s="26"/>
      <c r="EV25" s="26"/>
      <c r="EW25" s="26"/>
      <c r="EX25" s="26"/>
      <c r="EY25" s="26"/>
      <c r="EZ25" s="26"/>
      <c r="FA25" s="26"/>
      <c r="FB25" s="26"/>
      <c r="FC25" s="26"/>
      <c r="FD25" s="26"/>
      <c r="FE25" s="26"/>
      <c r="FF25" s="26"/>
    </row>
    <row r="26" spans="1:162" s="3" customFormat="1" ht="30" customHeight="1" thickBot="1" x14ac:dyDescent="0.3">
      <c r="A26" s="58"/>
      <c r="B26" s="35" t="s">
        <v>141</v>
      </c>
      <c r="C26" s="75" t="s">
        <v>106</v>
      </c>
      <c r="D26" s="19">
        <v>0</v>
      </c>
      <c r="E26" s="46">
        <f>F15</f>
        <v>45021</v>
      </c>
      <c r="F26" s="46">
        <f>E26+5</f>
        <v>45026</v>
      </c>
      <c r="G26" s="13"/>
      <c r="H26" s="13"/>
      <c r="I26" s="26"/>
      <c r="J26" s="26"/>
      <c r="K26" s="26"/>
      <c r="L26" s="26"/>
      <c r="M26" s="26"/>
      <c r="N26" s="26"/>
      <c r="O26" s="26"/>
      <c r="P26" s="26"/>
      <c r="Q26" s="26"/>
      <c r="R26" s="26"/>
      <c r="S26" s="26"/>
      <c r="T26" s="26"/>
      <c r="U26" s="26"/>
      <c r="V26" s="26"/>
      <c r="W26" s="26"/>
      <c r="X26" s="26"/>
      <c r="Y26" s="26"/>
      <c r="Z26" s="26"/>
      <c r="AA26" s="26"/>
      <c r="AB26" s="26"/>
      <c r="AC26" s="26"/>
      <c r="AD26" s="26"/>
      <c r="AE26" s="26"/>
      <c r="AF26" s="26"/>
      <c r="AG26" s="26"/>
      <c r="AH26" s="26"/>
      <c r="AI26" s="26"/>
      <c r="AJ26" s="26"/>
      <c r="AK26" s="26"/>
      <c r="AL26" s="26"/>
      <c r="AM26" s="26"/>
      <c r="AN26" s="26"/>
      <c r="AO26" s="26"/>
      <c r="AP26" s="26"/>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6"/>
      <c r="BO26" s="26"/>
      <c r="BP26" s="26"/>
      <c r="BQ26" s="26"/>
      <c r="BR26" s="26"/>
      <c r="BS26" s="26"/>
      <c r="BT26" s="26"/>
      <c r="BU26" s="26"/>
      <c r="BV26" s="26"/>
      <c r="BW26" s="26"/>
      <c r="BX26" s="26"/>
      <c r="BY26" s="26"/>
      <c r="BZ26" s="26"/>
      <c r="CA26" s="26"/>
      <c r="CB26" s="26"/>
      <c r="CC26" s="26"/>
      <c r="CD26" s="26"/>
      <c r="CE26" s="26"/>
      <c r="CF26" s="26"/>
      <c r="CG26" s="26"/>
      <c r="CH26" s="26"/>
      <c r="CI26" s="26"/>
      <c r="CJ26" s="26"/>
      <c r="CK26" s="26"/>
      <c r="CL26" s="26"/>
      <c r="CM26" s="26"/>
      <c r="CN26" s="26"/>
      <c r="CO26" s="26"/>
      <c r="CP26" s="26"/>
      <c r="CQ26" s="26"/>
      <c r="CR26" s="26"/>
      <c r="CS26" s="26"/>
      <c r="CT26" s="26"/>
      <c r="CU26" s="26"/>
      <c r="CV26" s="26"/>
      <c r="CW26" s="26"/>
      <c r="CX26" s="26"/>
      <c r="CY26" s="26"/>
      <c r="CZ26" s="26"/>
      <c r="DA26" s="26"/>
      <c r="DB26" s="26"/>
      <c r="DC26" s="26"/>
      <c r="DD26" s="26"/>
      <c r="DE26" s="26"/>
      <c r="DF26" s="26"/>
      <c r="DG26" s="26"/>
      <c r="DH26" s="26"/>
      <c r="DI26" s="26"/>
      <c r="DJ26" s="26"/>
      <c r="DK26" s="26"/>
      <c r="DL26" s="26"/>
      <c r="DM26" s="26"/>
      <c r="DN26" s="26"/>
      <c r="DO26" s="26"/>
      <c r="DP26" s="26"/>
      <c r="DQ26" s="26"/>
      <c r="DR26" s="26"/>
      <c r="DS26" s="26"/>
      <c r="DT26" s="26"/>
      <c r="DU26" s="26"/>
      <c r="DV26" s="26"/>
      <c r="DW26" s="26"/>
      <c r="DX26" s="26"/>
      <c r="DY26" s="26"/>
      <c r="DZ26" s="26"/>
      <c r="EA26" s="26"/>
      <c r="EB26" s="26"/>
      <c r="EC26" s="26"/>
      <c r="ED26" s="26"/>
      <c r="EE26" s="26"/>
      <c r="EF26" s="26"/>
      <c r="EG26" s="26"/>
      <c r="EH26" s="26"/>
      <c r="EI26" s="26"/>
      <c r="EJ26" s="26"/>
      <c r="EK26" s="26"/>
      <c r="EL26" s="26"/>
      <c r="EM26" s="26"/>
      <c r="EN26" s="26"/>
      <c r="EO26" s="26"/>
      <c r="EP26" s="26"/>
      <c r="EQ26" s="26"/>
      <c r="ER26" s="26"/>
      <c r="ES26" s="26"/>
      <c r="ET26" s="26"/>
      <c r="EU26" s="26"/>
      <c r="EV26" s="26"/>
      <c r="EW26" s="26"/>
      <c r="EX26" s="26"/>
      <c r="EY26" s="26"/>
      <c r="EZ26" s="26"/>
      <c r="FA26" s="26"/>
      <c r="FB26" s="26"/>
      <c r="FC26" s="26"/>
      <c r="FD26" s="26"/>
      <c r="FE26" s="26"/>
      <c r="FF26" s="26"/>
    </row>
    <row r="27" spans="1:162" s="3" customFormat="1" ht="30" customHeight="1" thickBot="1" x14ac:dyDescent="0.3">
      <c r="A27" s="58"/>
      <c r="B27" s="35" t="s">
        <v>142</v>
      </c>
      <c r="C27" s="75" t="s">
        <v>106</v>
      </c>
      <c r="D27" s="19">
        <v>0</v>
      </c>
      <c r="E27" s="46">
        <f>F26</f>
        <v>45026</v>
      </c>
      <c r="F27" s="46">
        <f>E27+5</f>
        <v>45031</v>
      </c>
      <c r="G27" s="13"/>
      <c r="H27" s="13"/>
      <c r="I27" s="26"/>
      <c r="J27" s="26"/>
      <c r="K27" s="26"/>
      <c r="L27" s="26"/>
      <c r="M27" s="26"/>
      <c r="N27" s="26"/>
      <c r="O27" s="26"/>
      <c r="P27" s="26"/>
      <c r="Q27" s="26"/>
      <c r="R27" s="26"/>
      <c r="S27" s="26"/>
      <c r="T27" s="26"/>
      <c r="U27" s="26"/>
      <c r="V27" s="26"/>
      <c r="W27" s="26"/>
      <c r="X27" s="26"/>
      <c r="Y27" s="26"/>
      <c r="Z27" s="26"/>
      <c r="AA27" s="26"/>
      <c r="AB27" s="26"/>
      <c r="AC27" s="26"/>
      <c r="AD27" s="26"/>
      <c r="AE27" s="26"/>
      <c r="AF27" s="26"/>
      <c r="AG27" s="26"/>
      <c r="AH27" s="26"/>
      <c r="AI27" s="26"/>
      <c r="AJ27" s="26"/>
      <c r="AK27" s="26"/>
      <c r="AL27" s="26"/>
      <c r="AM27" s="26"/>
      <c r="AN27" s="26"/>
      <c r="AO27" s="26"/>
      <c r="AP27" s="26"/>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6"/>
      <c r="BO27" s="26"/>
      <c r="BP27" s="26"/>
      <c r="BQ27" s="26"/>
      <c r="BR27" s="26"/>
      <c r="BS27" s="26"/>
      <c r="BT27" s="26"/>
      <c r="BU27" s="26"/>
      <c r="BV27" s="26"/>
      <c r="BW27" s="26"/>
      <c r="BX27" s="26"/>
      <c r="BY27" s="26"/>
      <c r="BZ27" s="26"/>
      <c r="CA27" s="26"/>
      <c r="CB27" s="26"/>
      <c r="CC27" s="26"/>
      <c r="CD27" s="26"/>
      <c r="CE27" s="26"/>
      <c r="CF27" s="26"/>
      <c r="CG27" s="26"/>
      <c r="CH27" s="26"/>
      <c r="CI27" s="26"/>
      <c r="CJ27" s="26"/>
      <c r="CK27" s="26"/>
      <c r="CL27" s="26"/>
      <c r="CM27" s="26"/>
      <c r="CN27" s="26"/>
      <c r="CO27" s="26"/>
      <c r="CP27" s="26"/>
      <c r="CQ27" s="26"/>
      <c r="CR27" s="26"/>
      <c r="CS27" s="26"/>
      <c r="CT27" s="26"/>
      <c r="CU27" s="26"/>
      <c r="CV27" s="26"/>
      <c r="CW27" s="26"/>
      <c r="CX27" s="26"/>
      <c r="CY27" s="26"/>
      <c r="CZ27" s="26"/>
      <c r="DA27" s="26"/>
      <c r="DB27" s="26"/>
      <c r="DC27" s="26"/>
      <c r="DD27" s="26"/>
      <c r="DE27" s="26"/>
      <c r="DF27" s="26"/>
      <c r="DG27" s="26"/>
      <c r="DH27" s="26"/>
      <c r="DI27" s="26"/>
      <c r="DJ27" s="26"/>
      <c r="DK27" s="26"/>
      <c r="DL27" s="26"/>
      <c r="DM27" s="26"/>
      <c r="DN27" s="26"/>
      <c r="DO27" s="26"/>
      <c r="DP27" s="26"/>
      <c r="DQ27" s="26"/>
      <c r="DR27" s="26"/>
      <c r="DS27" s="26"/>
      <c r="DT27" s="26"/>
      <c r="DU27" s="26"/>
      <c r="DV27" s="26"/>
      <c r="DW27" s="26"/>
      <c r="DX27" s="26"/>
      <c r="DY27" s="26"/>
      <c r="DZ27" s="26"/>
      <c r="EA27" s="26"/>
      <c r="EB27" s="26"/>
      <c r="EC27" s="26"/>
      <c r="ED27" s="26"/>
      <c r="EE27" s="26"/>
      <c r="EF27" s="26"/>
      <c r="EG27" s="26"/>
      <c r="EH27" s="26"/>
      <c r="EI27" s="26"/>
      <c r="EJ27" s="26"/>
      <c r="EK27" s="26"/>
      <c r="EL27" s="26"/>
      <c r="EM27" s="26"/>
      <c r="EN27" s="26"/>
      <c r="EO27" s="26"/>
      <c r="EP27" s="26"/>
      <c r="EQ27" s="26"/>
      <c r="ER27" s="26"/>
      <c r="ES27" s="26"/>
      <c r="ET27" s="26"/>
      <c r="EU27" s="26"/>
      <c r="EV27" s="26"/>
      <c r="EW27" s="26"/>
      <c r="EX27" s="26"/>
      <c r="EY27" s="26"/>
      <c r="EZ27" s="26"/>
      <c r="FA27" s="26"/>
      <c r="FB27" s="26"/>
      <c r="FC27" s="26"/>
      <c r="FD27" s="26"/>
      <c r="FE27" s="26"/>
      <c r="FF27" s="26"/>
    </row>
    <row r="28" spans="1:162" s="3" customFormat="1" ht="30" customHeight="1" thickBot="1" x14ac:dyDescent="0.3">
      <c r="A28" s="58"/>
      <c r="B28" s="35" t="s">
        <v>143</v>
      </c>
      <c r="C28" s="75" t="s">
        <v>106</v>
      </c>
      <c r="D28" s="19">
        <v>0</v>
      </c>
      <c r="E28" s="46">
        <f>F27</f>
        <v>45031</v>
      </c>
      <c r="F28" s="46">
        <f>E28+4</f>
        <v>45035</v>
      </c>
      <c r="G28" s="13"/>
      <c r="H28" s="13"/>
      <c r="I28" s="26"/>
      <c r="J28" s="26"/>
      <c r="K28" s="26"/>
      <c r="L28" s="26"/>
      <c r="M28" s="26"/>
      <c r="N28" s="26"/>
      <c r="O28" s="26"/>
      <c r="P28" s="26"/>
      <c r="Q28" s="26"/>
      <c r="R28" s="26"/>
      <c r="S28" s="26"/>
      <c r="T28" s="26"/>
      <c r="U28" s="26"/>
      <c r="V28" s="26"/>
      <c r="W28" s="26"/>
      <c r="X28" s="26"/>
      <c r="Y28" s="26"/>
      <c r="Z28" s="26"/>
      <c r="AA28" s="26"/>
      <c r="AB28" s="26"/>
      <c r="AC28" s="26"/>
      <c r="AD28" s="26"/>
      <c r="AE28" s="26"/>
      <c r="AF28" s="26"/>
      <c r="AG28" s="26"/>
      <c r="AH28" s="26"/>
      <c r="AI28" s="26"/>
      <c r="AJ28" s="26"/>
      <c r="AK28" s="26"/>
      <c r="AL28" s="26"/>
      <c r="AM28" s="26"/>
      <c r="AN28" s="26"/>
      <c r="AO28" s="26"/>
      <c r="AP28" s="26"/>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6"/>
      <c r="BO28" s="26"/>
      <c r="BP28" s="26"/>
      <c r="BQ28" s="26"/>
      <c r="BR28" s="26"/>
      <c r="BS28" s="26"/>
      <c r="BT28" s="26"/>
      <c r="BU28" s="26"/>
      <c r="BV28" s="26"/>
      <c r="BW28" s="26"/>
      <c r="BX28" s="26"/>
      <c r="BY28" s="26"/>
      <c r="BZ28" s="26"/>
      <c r="CA28" s="26"/>
      <c r="CB28" s="26"/>
      <c r="CC28" s="26"/>
      <c r="CD28" s="26"/>
      <c r="CE28" s="26"/>
      <c r="CF28" s="26"/>
      <c r="CG28" s="26"/>
      <c r="CH28" s="26"/>
      <c r="CI28" s="26"/>
      <c r="CJ28" s="26"/>
      <c r="CK28" s="26"/>
      <c r="CL28" s="26"/>
      <c r="CM28" s="26"/>
      <c r="CN28" s="26"/>
      <c r="CO28" s="26"/>
      <c r="CP28" s="26"/>
      <c r="CQ28" s="26"/>
      <c r="CR28" s="26"/>
      <c r="CS28" s="26"/>
      <c r="CT28" s="26"/>
      <c r="CU28" s="26"/>
      <c r="CV28" s="26"/>
      <c r="CW28" s="26"/>
      <c r="CX28" s="26"/>
      <c r="CY28" s="26"/>
      <c r="CZ28" s="26"/>
      <c r="DA28" s="26"/>
      <c r="DB28" s="26"/>
      <c r="DC28" s="26"/>
      <c r="DD28" s="26"/>
      <c r="DE28" s="26"/>
      <c r="DF28" s="26"/>
      <c r="DG28" s="26"/>
      <c r="DH28" s="26"/>
      <c r="DI28" s="26"/>
      <c r="DJ28" s="26"/>
      <c r="DK28" s="26"/>
      <c r="DL28" s="26"/>
      <c r="DM28" s="26"/>
      <c r="DN28" s="26"/>
      <c r="DO28" s="26"/>
      <c r="DP28" s="26"/>
      <c r="DQ28" s="26"/>
      <c r="DR28" s="26"/>
      <c r="DS28" s="26"/>
      <c r="DT28" s="26"/>
      <c r="DU28" s="26"/>
      <c r="DV28" s="26"/>
      <c r="DW28" s="26"/>
      <c r="DX28" s="26"/>
      <c r="DY28" s="26"/>
      <c r="DZ28" s="26"/>
      <c r="EA28" s="26"/>
      <c r="EB28" s="26"/>
      <c r="EC28" s="26"/>
      <c r="ED28" s="26"/>
      <c r="EE28" s="26"/>
      <c r="EF28" s="26"/>
      <c r="EG28" s="26"/>
      <c r="EH28" s="26"/>
      <c r="EI28" s="26"/>
      <c r="EJ28" s="26"/>
      <c r="EK28" s="26"/>
      <c r="EL28" s="26"/>
      <c r="EM28" s="26"/>
      <c r="EN28" s="26"/>
      <c r="EO28" s="26"/>
      <c r="EP28" s="26"/>
      <c r="EQ28" s="26"/>
      <c r="ER28" s="26"/>
      <c r="ES28" s="26"/>
      <c r="ET28" s="26"/>
      <c r="EU28" s="26"/>
      <c r="EV28" s="26"/>
      <c r="EW28" s="26"/>
      <c r="EX28" s="26"/>
      <c r="EY28" s="26"/>
      <c r="EZ28" s="26"/>
      <c r="FA28" s="26"/>
      <c r="FB28" s="26"/>
      <c r="FC28" s="26"/>
      <c r="FD28" s="26"/>
      <c r="FE28" s="26"/>
      <c r="FF28" s="26"/>
    </row>
    <row r="29" spans="1:162" s="3" customFormat="1" ht="30" customHeight="1" thickBot="1" x14ac:dyDescent="0.3">
      <c r="A29" s="58"/>
      <c r="B29" s="35" t="s">
        <v>144</v>
      </c>
      <c r="C29" s="75" t="s">
        <v>100</v>
      </c>
      <c r="D29" s="19">
        <v>0</v>
      </c>
      <c r="E29" s="46">
        <f>F22</f>
        <v>45015</v>
      </c>
      <c r="F29" s="46">
        <f>E29+30</f>
        <v>45045</v>
      </c>
      <c r="G29" s="13"/>
      <c r="H29" s="13"/>
      <c r="I29" s="26"/>
      <c r="J29" s="26"/>
      <c r="K29" s="26"/>
      <c r="L29" s="26"/>
      <c r="M29" s="26"/>
      <c r="N29" s="26"/>
      <c r="O29" s="26"/>
      <c r="P29" s="26"/>
      <c r="Q29" s="26"/>
      <c r="R29" s="26"/>
      <c r="S29" s="26"/>
      <c r="T29" s="26"/>
      <c r="U29" s="26"/>
      <c r="V29" s="26"/>
      <c r="W29" s="26"/>
      <c r="X29" s="26"/>
      <c r="Y29" s="26"/>
      <c r="Z29" s="26"/>
      <c r="AA29" s="26"/>
      <c r="AB29" s="26"/>
      <c r="AC29" s="26"/>
      <c r="AD29" s="26"/>
      <c r="AE29" s="26"/>
      <c r="AF29" s="26"/>
      <c r="AG29" s="26"/>
      <c r="AH29" s="26"/>
      <c r="AI29" s="26"/>
      <c r="AJ29" s="26"/>
      <c r="AK29" s="26"/>
      <c r="AL29" s="26"/>
      <c r="AM29" s="26"/>
      <c r="AN29" s="26"/>
      <c r="AO29" s="26"/>
      <c r="AP29" s="26"/>
      <c r="AQ29" s="26"/>
      <c r="AR29" s="26"/>
      <c r="AS29" s="26"/>
      <c r="AT29" s="26"/>
      <c r="AU29" s="26"/>
      <c r="AV29" s="26"/>
      <c r="AW29" s="26"/>
      <c r="AX29" s="26"/>
      <c r="AY29" s="26"/>
      <c r="AZ29" s="26"/>
      <c r="BA29" s="26"/>
      <c r="BB29" s="26"/>
      <c r="BC29" s="26"/>
      <c r="BD29" s="26"/>
      <c r="BE29" s="26"/>
      <c r="BF29" s="26"/>
      <c r="BG29" s="26"/>
      <c r="BH29" s="26"/>
      <c r="BI29" s="26"/>
      <c r="BJ29" s="26"/>
      <c r="BK29" s="26"/>
      <c r="BL29" s="26"/>
      <c r="BM29" s="26"/>
      <c r="BN29" s="26"/>
      <c r="BO29" s="26"/>
      <c r="BP29" s="26"/>
      <c r="BQ29" s="26"/>
      <c r="BR29" s="26"/>
      <c r="BS29" s="26"/>
      <c r="BT29" s="26"/>
      <c r="BU29" s="26"/>
      <c r="BV29" s="26"/>
      <c r="BW29" s="26"/>
      <c r="BX29" s="26"/>
      <c r="BY29" s="26"/>
      <c r="BZ29" s="26"/>
      <c r="CA29" s="26"/>
      <c r="CB29" s="26"/>
      <c r="CC29" s="26"/>
      <c r="CD29" s="26"/>
      <c r="CE29" s="26"/>
      <c r="CF29" s="26"/>
      <c r="CG29" s="26"/>
      <c r="CH29" s="26"/>
      <c r="CI29" s="26"/>
      <c r="CJ29" s="26"/>
      <c r="CK29" s="26"/>
      <c r="CL29" s="26"/>
      <c r="CM29" s="26"/>
      <c r="CN29" s="26"/>
      <c r="CO29" s="26"/>
      <c r="CP29" s="26"/>
      <c r="CQ29" s="26"/>
      <c r="CR29" s="26"/>
      <c r="CS29" s="26"/>
      <c r="CT29" s="26"/>
      <c r="CU29" s="26"/>
      <c r="CV29" s="26"/>
      <c r="CW29" s="26"/>
      <c r="CX29" s="26"/>
      <c r="CY29" s="26"/>
      <c r="CZ29" s="26"/>
      <c r="DA29" s="26"/>
      <c r="DB29" s="26"/>
      <c r="DC29" s="26"/>
      <c r="DD29" s="26"/>
      <c r="DE29" s="26"/>
      <c r="DF29" s="26"/>
      <c r="DG29" s="26"/>
      <c r="DH29" s="26"/>
      <c r="DI29" s="26"/>
      <c r="DJ29" s="26"/>
      <c r="DK29" s="26"/>
      <c r="DL29" s="26"/>
      <c r="DM29" s="26"/>
      <c r="DN29" s="26"/>
      <c r="DO29" s="26"/>
      <c r="DP29" s="26"/>
      <c r="DQ29" s="26"/>
      <c r="DR29" s="26"/>
      <c r="DS29" s="26"/>
      <c r="DT29" s="26"/>
      <c r="DU29" s="26"/>
      <c r="DV29" s="26"/>
      <c r="DW29" s="26"/>
      <c r="DX29" s="26"/>
      <c r="DY29" s="26"/>
      <c r="DZ29" s="26"/>
      <c r="EA29" s="26"/>
      <c r="EB29" s="26"/>
      <c r="EC29" s="26"/>
      <c r="ED29" s="26"/>
      <c r="EE29" s="26"/>
      <c r="EF29" s="26"/>
      <c r="EG29" s="26"/>
      <c r="EH29" s="26"/>
      <c r="EI29" s="26"/>
      <c r="EJ29" s="26"/>
      <c r="EK29" s="26"/>
      <c r="EL29" s="26"/>
      <c r="EM29" s="26"/>
      <c r="EN29" s="26"/>
      <c r="EO29" s="26"/>
      <c r="EP29" s="26"/>
      <c r="EQ29" s="26"/>
      <c r="ER29" s="26"/>
      <c r="ES29" s="26"/>
      <c r="ET29" s="26"/>
      <c r="EU29" s="26"/>
      <c r="EV29" s="26"/>
      <c r="EW29" s="26"/>
      <c r="EX29" s="26"/>
      <c r="EY29" s="26"/>
      <c r="EZ29" s="26"/>
      <c r="FA29" s="26"/>
      <c r="FB29" s="26"/>
      <c r="FC29" s="26"/>
      <c r="FD29" s="26"/>
      <c r="FE29" s="26"/>
      <c r="FF29" s="26"/>
    </row>
    <row r="30" spans="1:162" s="3" customFormat="1" ht="30" customHeight="1" thickBot="1" x14ac:dyDescent="0.3">
      <c r="A30" s="58"/>
      <c r="B30" s="35" t="s">
        <v>145</v>
      </c>
      <c r="C30" s="75" t="s">
        <v>102</v>
      </c>
      <c r="D30" s="19">
        <v>0</v>
      </c>
      <c r="E30" s="46">
        <f>F29</f>
        <v>45045</v>
      </c>
      <c r="F30" s="46">
        <f>E30+6</f>
        <v>45051</v>
      </c>
      <c r="G30" s="13"/>
      <c r="H30" s="13"/>
      <c r="I30" s="26"/>
      <c r="J30" s="26"/>
      <c r="K30" s="26"/>
      <c r="L30" s="26"/>
      <c r="M30" s="26"/>
      <c r="N30" s="26"/>
      <c r="O30" s="26"/>
      <c r="P30" s="26"/>
      <c r="Q30" s="26"/>
      <c r="R30" s="26"/>
      <c r="S30" s="26"/>
      <c r="T30" s="26"/>
      <c r="U30" s="26"/>
      <c r="V30" s="26"/>
      <c r="W30" s="26"/>
      <c r="X30" s="26"/>
      <c r="Y30" s="26"/>
      <c r="Z30" s="26"/>
      <c r="AA30" s="26"/>
      <c r="AB30" s="26"/>
      <c r="AC30" s="26"/>
      <c r="AD30" s="26"/>
      <c r="AE30" s="26"/>
      <c r="AF30" s="26"/>
      <c r="AG30" s="26"/>
      <c r="AH30" s="26"/>
      <c r="AI30" s="26"/>
      <c r="AJ30" s="26"/>
      <c r="AK30" s="26"/>
      <c r="AL30" s="26"/>
      <c r="AM30" s="26"/>
      <c r="AN30" s="26"/>
      <c r="AO30" s="26"/>
      <c r="AP30" s="26"/>
      <c r="AQ30" s="26"/>
      <c r="AR30" s="26"/>
      <c r="AS30" s="26"/>
      <c r="AT30" s="26"/>
      <c r="AU30" s="26"/>
      <c r="AV30" s="26"/>
      <c r="AW30" s="26"/>
      <c r="AX30" s="26"/>
      <c r="AY30" s="26"/>
      <c r="AZ30" s="26"/>
      <c r="BA30" s="26"/>
      <c r="BB30" s="26"/>
      <c r="BC30" s="26"/>
      <c r="BD30" s="26"/>
      <c r="BE30" s="26"/>
      <c r="BF30" s="26"/>
      <c r="BG30" s="26"/>
      <c r="BH30" s="26"/>
      <c r="BI30" s="26"/>
      <c r="BJ30" s="26"/>
      <c r="BK30" s="26"/>
      <c r="BL30" s="26"/>
      <c r="BM30" s="26"/>
      <c r="BN30" s="26"/>
      <c r="BO30" s="26"/>
      <c r="BP30" s="26"/>
      <c r="BQ30" s="26"/>
      <c r="BR30" s="26"/>
      <c r="BS30" s="26"/>
      <c r="BT30" s="26"/>
      <c r="BU30" s="26"/>
      <c r="BV30" s="26"/>
      <c r="BW30" s="26"/>
      <c r="BX30" s="26"/>
      <c r="BY30" s="26"/>
      <c r="BZ30" s="26"/>
      <c r="CA30" s="26"/>
      <c r="CB30" s="26"/>
      <c r="CC30" s="26"/>
      <c r="CD30" s="26"/>
      <c r="CE30" s="26"/>
      <c r="CF30" s="26"/>
      <c r="CG30" s="26"/>
      <c r="CH30" s="26"/>
      <c r="CI30" s="26"/>
      <c r="CJ30" s="26"/>
      <c r="CK30" s="26"/>
      <c r="CL30" s="26"/>
      <c r="CM30" s="26"/>
      <c r="CN30" s="26"/>
      <c r="CO30" s="26"/>
      <c r="CP30" s="26"/>
      <c r="CQ30" s="26"/>
      <c r="CR30" s="26"/>
      <c r="CS30" s="26"/>
      <c r="CT30" s="26"/>
      <c r="CU30" s="26"/>
      <c r="CV30" s="26"/>
      <c r="CW30" s="26"/>
      <c r="CX30" s="26"/>
      <c r="CY30" s="26"/>
      <c r="CZ30" s="26"/>
      <c r="DA30" s="26"/>
      <c r="DB30" s="26"/>
      <c r="DC30" s="26"/>
      <c r="DD30" s="26"/>
      <c r="DE30" s="26"/>
      <c r="DF30" s="26"/>
      <c r="DG30" s="26"/>
      <c r="DH30" s="26"/>
      <c r="DI30" s="26"/>
      <c r="DJ30" s="26"/>
      <c r="DK30" s="26"/>
      <c r="DL30" s="26"/>
      <c r="DM30" s="26"/>
      <c r="DN30" s="26"/>
      <c r="DO30" s="26"/>
      <c r="DP30" s="26"/>
      <c r="DQ30" s="26"/>
      <c r="DR30" s="26"/>
      <c r="DS30" s="26"/>
      <c r="DT30" s="26"/>
      <c r="DU30" s="26"/>
      <c r="DV30" s="26"/>
      <c r="DW30" s="26"/>
      <c r="DX30" s="26"/>
      <c r="DY30" s="26"/>
      <c r="DZ30" s="26"/>
      <c r="EA30" s="26"/>
      <c r="EB30" s="26"/>
      <c r="EC30" s="26"/>
      <c r="ED30" s="26"/>
      <c r="EE30" s="26"/>
      <c r="EF30" s="26"/>
      <c r="EG30" s="26"/>
      <c r="EH30" s="26"/>
      <c r="EI30" s="26"/>
      <c r="EJ30" s="26"/>
      <c r="EK30" s="26"/>
      <c r="EL30" s="26"/>
      <c r="EM30" s="26"/>
      <c r="EN30" s="26"/>
      <c r="EO30" s="26"/>
      <c r="EP30" s="26"/>
      <c r="EQ30" s="26"/>
      <c r="ER30" s="26"/>
      <c r="ES30" s="26"/>
      <c r="ET30" s="26"/>
      <c r="EU30" s="26"/>
      <c r="EV30" s="26"/>
      <c r="EW30" s="26"/>
      <c r="EX30" s="26"/>
      <c r="EY30" s="26"/>
      <c r="EZ30" s="26"/>
      <c r="FA30" s="26"/>
      <c r="FB30" s="26"/>
      <c r="FC30" s="26"/>
      <c r="FD30" s="26"/>
      <c r="FE30" s="26"/>
      <c r="FF30" s="26"/>
    </row>
    <row r="31" spans="1:162" s="3" customFormat="1" ht="30" customHeight="1" thickBot="1" x14ac:dyDescent="0.3">
      <c r="A31" s="58"/>
      <c r="B31" s="35" t="s">
        <v>147</v>
      </c>
      <c r="C31" s="75" t="s">
        <v>98</v>
      </c>
      <c r="D31" s="19">
        <v>0</v>
      </c>
      <c r="E31" s="46">
        <f>F17</f>
        <v>45058</v>
      </c>
      <c r="F31" s="46">
        <f>E31+7</f>
        <v>45065</v>
      </c>
      <c r="G31" s="13"/>
      <c r="H31" s="13"/>
      <c r="I31" s="26"/>
      <c r="J31" s="26"/>
      <c r="K31" s="26"/>
      <c r="L31" s="26"/>
      <c r="M31" s="26"/>
      <c r="N31" s="26"/>
      <c r="O31" s="26"/>
      <c r="P31" s="26"/>
      <c r="Q31" s="26"/>
      <c r="R31" s="26"/>
      <c r="S31" s="26"/>
      <c r="T31" s="26"/>
      <c r="U31" s="26"/>
      <c r="V31" s="26"/>
      <c r="W31" s="26"/>
      <c r="X31" s="26"/>
      <c r="Y31" s="26"/>
      <c r="Z31" s="26"/>
      <c r="AA31" s="26"/>
      <c r="AB31" s="26"/>
      <c r="AC31" s="26"/>
      <c r="AD31" s="26"/>
      <c r="AE31" s="26"/>
      <c r="AF31" s="26"/>
      <c r="AG31" s="26"/>
      <c r="AH31" s="26"/>
      <c r="AI31" s="26"/>
      <c r="AJ31" s="26"/>
      <c r="AK31" s="26"/>
      <c r="AL31" s="26"/>
      <c r="AM31" s="26"/>
      <c r="AN31" s="26"/>
      <c r="AO31" s="26"/>
      <c r="AP31" s="26"/>
      <c r="AQ31" s="26"/>
      <c r="AR31" s="26"/>
      <c r="AS31" s="26"/>
      <c r="AT31" s="26"/>
      <c r="AU31" s="26"/>
      <c r="AV31" s="26"/>
      <c r="AW31" s="26"/>
      <c r="AX31" s="26"/>
      <c r="AY31" s="26"/>
      <c r="AZ31" s="26"/>
      <c r="BA31" s="26"/>
      <c r="BB31" s="26"/>
      <c r="BC31" s="26"/>
      <c r="BD31" s="26"/>
      <c r="BE31" s="26"/>
      <c r="BF31" s="26"/>
      <c r="BG31" s="26"/>
      <c r="BH31" s="26"/>
      <c r="BI31" s="26"/>
      <c r="BJ31" s="26"/>
      <c r="BK31" s="26"/>
      <c r="BL31" s="26"/>
      <c r="BM31" s="26"/>
      <c r="BN31" s="26"/>
      <c r="BO31" s="26"/>
      <c r="BP31" s="26"/>
      <c r="BQ31" s="26"/>
      <c r="BR31" s="26"/>
      <c r="BS31" s="26"/>
      <c r="BT31" s="26"/>
      <c r="BU31" s="26"/>
      <c r="BV31" s="26"/>
      <c r="BW31" s="26"/>
      <c r="BX31" s="26"/>
      <c r="BY31" s="26"/>
      <c r="BZ31" s="26"/>
      <c r="CA31" s="26"/>
      <c r="CB31" s="26"/>
      <c r="CC31" s="26"/>
      <c r="CD31" s="26"/>
      <c r="CE31" s="26"/>
      <c r="CF31" s="26"/>
      <c r="CG31" s="26"/>
      <c r="CH31" s="26"/>
      <c r="CI31" s="26"/>
      <c r="CJ31" s="26"/>
      <c r="CK31" s="26"/>
      <c r="CL31" s="26"/>
      <c r="CM31" s="26"/>
      <c r="CN31" s="26"/>
      <c r="CO31" s="26"/>
      <c r="CP31" s="26"/>
      <c r="CQ31" s="26"/>
      <c r="CR31" s="26"/>
      <c r="CS31" s="26"/>
      <c r="CT31" s="26"/>
      <c r="CU31" s="26"/>
      <c r="CV31" s="26"/>
      <c r="CW31" s="26"/>
      <c r="CX31" s="26"/>
      <c r="CY31" s="26"/>
      <c r="CZ31" s="26"/>
      <c r="DA31" s="26"/>
      <c r="DB31" s="26"/>
      <c r="DC31" s="26"/>
      <c r="DD31" s="26"/>
      <c r="DE31" s="26"/>
      <c r="DF31" s="26"/>
      <c r="DG31" s="26"/>
      <c r="DH31" s="26"/>
      <c r="DI31" s="26"/>
      <c r="DJ31" s="26"/>
      <c r="DK31" s="26"/>
      <c r="DL31" s="26"/>
      <c r="DM31" s="26"/>
      <c r="DN31" s="26"/>
      <c r="DO31" s="26"/>
      <c r="DP31" s="26"/>
      <c r="DQ31" s="26"/>
      <c r="DR31" s="26"/>
      <c r="DS31" s="26"/>
      <c r="DT31" s="26"/>
      <c r="DU31" s="26"/>
      <c r="DV31" s="26"/>
      <c r="DW31" s="26"/>
      <c r="DX31" s="26"/>
      <c r="DY31" s="26"/>
      <c r="DZ31" s="26"/>
      <c r="EA31" s="26"/>
      <c r="EB31" s="26"/>
      <c r="EC31" s="26"/>
      <c r="ED31" s="26"/>
      <c r="EE31" s="26"/>
      <c r="EF31" s="26"/>
      <c r="EG31" s="26"/>
      <c r="EH31" s="26"/>
      <c r="EI31" s="26"/>
      <c r="EJ31" s="26"/>
      <c r="EK31" s="26"/>
      <c r="EL31" s="26"/>
      <c r="EM31" s="26"/>
      <c r="EN31" s="26"/>
      <c r="EO31" s="26"/>
      <c r="EP31" s="26"/>
      <c r="EQ31" s="26"/>
      <c r="ER31" s="26"/>
      <c r="ES31" s="26"/>
      <c r="ET31" s="26"/>
      <c r="EU31" s="26"/>
      <c r="EV31" s="26"/>
      <c r="EW31" s="26"/>
      <c r="EX31" s="26"/>
      <c r="EY31" s="26"/>
      <c r="EZ31" s="26"/>
      <c r="FA31" s="26"/>
      <c r="FB31" s="26"/>
      <c r="FC31" s="26"/>
      <c r="FD31" s="26"/>
      <c r="FE31" s="26"/>
      <c r="FF31" s="26"/>
    </row>
    <row r="32" spans="1:162" s="3" customFormat="1" ht="30" customHeight="1" thickBot="1" x14ac:dyDescent="0.3">
      <c r="A32" s="58"/>
      <c r="B32" s="35" t="s">
        <v>149</v>
      </c>
      <c r="C32" s="75" t="s">
        <v>108</v>
      </c>
      <c r="D32" s="19">
        <v>0</v>
      </c>
      <c r="E32" s="46">
        <f>F37</f>
        <v>45053</v>
      </c>
      <c r="F32" s="46">
        <f>E32+2</f>
        <v>45055</v>
      </c>
      <c r="G32" s="13"/>
      <c r="H32" s="13"/>
      <c r="I32" s="26"/>
      <c r="J32" s="26"/>
      <c r="K32" s="26"/>
      <c r="L32" s="26"/>
      <c r="M32" s="26"/>
      <c r="N32" s="26"/>
      <c r="O32" s="26"/>
      <c r="P32" s="26"/>
      <c r="Q32" s="26"/>
      <c r="R32" s="26"/>
      <c r="S32" s="26"/>
      <c r="T32" s="26"/>
      <c r="U32" s="26"/>
      <c r="V32" s="26"/>
      <c r="W32" s="26"/>
      <c r="X32" s="26"/>
      <c r="Y32" s="26"/>
      <c r="Z32" s="26"/>
      <c r="AA32" s="26"/>
      <c r="AB32" s="26"/>
      <c r="AC32" s="26"/>
      <c r="AD32" s="26"/>
      <c r="AE32" s="26"/>
      <c r="AF32" s="26"/>
      <c r="AG32" s="26"/>
      <c r="AH32" s="26"/>
      <c r="AI32" s="26"/>
      <c r="AJ32" s="26"/>
      <c r="AK32" s="26"/>
      <c r="AL32" s="26"/>
      <c r="AM32" s="26"/>
      <c r="AN32" s="26"/>
      <c r="AO32" s="26"/>
      <c r="AP32" s="26"/>
      <c r="AQ32" s="26"/>
      <c r="AR32" s="26"/>
      <c r="AS32" s="26"/>
      <c r="AT32" s="26"/>
      <c r="AU32" s="26"/>
      <c r="AV32" s="26"/>
      <c r="AW32" s="26"/>
      <c r="AX32" s="26"/>
      <c r="AY32" s="26"/>
      <c r="AZ32" s="26"/>
      <c r="BA32" s="26"/>
      <c r="BB32" s="26"/>
      <c r="BC32" s="26"/>
      <c r="BD32" s="26"/>
      <c r="BE32" s="26"/>
      <c r="BF32" s="26"/>
      <c r="BG32" s="26"/>
      <c r="BH32" s="26"/>
      <c r="BI32" s="26"/>
      <c r="BJ32" s="26"/>
      <c r="BK32" s="26"/>
      <c r="BL32" s="26"/>
      <c r="BM32" s="26"/>
      <c r="BN32" s="26"/>
      <c r="BO32" s="26"/>
      <c r="BP32" s="26"/>
      <c r="BQ32" s="26"/>
      <c r="BR32" s="26"/>
      <c r="BS32" s="26"/>
      <c r="BT32" s="26"/>
      <c r="BU32" s="26"/>
      <c r="BV32" s="26"/>
      <c r="BW32" s="26"/>
      <c r="BX32" s="26"/>
      <c r="BY32" s="26"/>
      <c r="BZ32" s="26"/>
      <c r="CA32" s="26"/>
      <c r="CB32" s="26"/>
      <c r="CC32" s="26"/>
      <c r="CD32" s="26"/>
      <c r="CE32" s="26"/>
      <c r="CF32" s="26"/>
      <c r="CG32" s="26"/>
      <c r="CH32" s="26"/>
      <c r="CI32" s="26"/>
      <c r="CJ32" s="26"/>
      <c r="CK32" s="26"/>
      <c r="CL32" s="26"/>
      <c r="CM32" s="26"/>
      <c r="CN32" s="26"/>
      <c r="CO32" s="26"/>
      <c r="CP32" s="26"/>
      <c r="CQ32" s="26"/>
      <c r="CR32" s="26"/>
      <c r="CS32" s="26"/>
      <c r="CT32" s="26"/>
      <c r="CU32" s="26"/>
      <c r="CV32" s="26"/>
      <c r="CW32" s="26"/>
      <c r="CX32" s="26"/>
      <c r="CY32" s="26"/>
      <c r="CZ32" s="26"/>
      <c r="DA32" s="26"/>
      <c r="DB32" s="26"/>
      <c r="DC32" s="26"/>
      <c r="DD32" s="26"/>
      <c r="DE32" s="26"/>
      <c r="DF32" s="26"/>
      <c r="DG32" s="26"/>
      <c r="DH32" s="26"/>
      <c r="DI32" s="26"/>
      <c r="DJ32" s="26"/>
      <c r="DK32" s="26"/>
      <c r="DL32" s="26"/>
      <c r="DM32" s="26"/>
      <c r="DN32" s="26"/>
      <c r="DO32" s="26"/>
      <c r="DP32" s="26"/>
      <c r="DQ32" s="26"/>
      <c r="DR32" s="26"/>
      <c r="DS32" s="26"/>
      <c r="DT32" s="26"/>
      <c r="DU32" s="26"/>
      <c r="DV32" s="26"/>
      <c r="DW32" s="26"/>
      <c r="DX32" s="26"/>
      <c r="DY32" s="26"/>
      <c r="DZ32" s="26"/>
      <c r="EA32" s="26"/>
      <c r="EB32" s="26"/>
      <c r="EC32" s="26"/>
      <c r="ED32" s="26"/>
      <c r="EE32" s="26"/>
      <c r="EF32" s="26"/>
      <c r="EG32" s="26"/>
      <c r="EH32" s="26"/>
      <c r="EI32" s="26"/>
      <c r="EJ32" s="26"/>
      <c r="EK32" s="26"/>
      <c r="EL32" s="26"/>
      <c r="EM32" s="26"/>
      <c r="EN32" s="26"/>
      <c r="EO32" s="26"/>
      <c r="EP32" s="26"/>
      <c r="EQ32" s="26"/>
      <c r="ER32" s="26"/>
      <c r="ES32" s="26"/>
      <c r="ET32" s="26"/>
      <c r="EU32" s="26"/>
      <c r="EV32" s="26"/>
      <c r="EW32" s="26"/>
      <c r="EX32" s="26"/>
      <c r="EY32" s="26"/>
      <c r="EZ32" s="26"/>
      <c r="FA32" s="26"/>
      <c r="FB32" s="26"/>
      <c r="FC32" s="26"/>
      <c r="FD32" s="26"/>
      <c r="FE32" s="26"/>
      <c r="FF32" s="26"/>
    </row>
    <row r="33" spans="1:162" s="3" customFormat="1" ht="30" customHeight="1" thickBot="1" x14ac:dyDescent="0.3">
      <c r="A33" s="58"/>
      <c r="B33" s="35" t="s">
        <v>151</v>
      </c>
      <c r="C33" s="75" t="s">
        <v>92</v>
      </c>
      <c r="D33" s="19">
        <v>0</v>
      </c>
      <c r="E33" s="46">
        <f>F18</f>
        <v>45055</v>
      </c>
      <c r="F33" s="46">
        <f>E33+2</f>
        <v>45057</v>
      </c>
      <c r="G33" s="13"/>
      <c r="H33" s="13"/>
      <c r="I33" s="26"/>
      <c r="J33" s="26"/>
      <c r="K33" s="26"/>
      <c r="L33" s="26"/>
      <c r="M33" s="26"/>
      <c r="N33" s="26"/>
      <c r="O33" s="26"/>
      <c r="P33" s="26"/>
      <c r="Q33" s="26"/>
      <c r="R33" s="26"/>
      <c r="S33" s="26"/>
      <c r="T33" s="26"/>
      <c r="U33" s="26"/>
      <c r="V33" s="26"/>
      <c r="W33" s="26"/>
      <c r="X33" s="26"/>
      <c r="Y33" s="26"/>
      <c r="Z33" s="26"/>
      <c r="AA33" s="26"/>
      <c r="AB33" s="26"/>
      <c r="AC33" s="26"/>
      <c r="AD33" s="26"/>
      <c r="AE33" s="26"/>
      <c r="AF33" s="26"/>
      <c r="AG33" s="26"/>
      <c r="AH33" s="26"/>
      <c r="AI33" s="26"/>
      <c r="AJ33" s="26"/>
      <c r="AK33" s="26"/>
      <c r="AL33" s="26"/>
      <c r="AM33" s="26"/>
      <c r="AN33" s="26"/>
      <c r="AO33" s="26"/>
      <c r="AP33" s="26"/>
      <c r="AQ33" s="26"/>
      <c r="AR33" s="26"/>
      <c r="AS33" s="26"/>
      <c r="AT33" s="26"/>
      <c r="AU33" s="26"/>
      <c r="AV33" s="26"/>
      <c r="AW33" s="26"/>
      <c r="AX33" s="26"/>
      <c r="AY33" s="26"/>
      <c r="AZ33" s="26"/>
      <c r="BA33" s="26"/>
      <c r="BB33" s="26"/>
      <c r="BC33" s="26"/>
      <c r="BD33" s="26"/>
      <c r="BE33" s="26"/>
      <c r="BF33" s="26"/>
      <c r="BG33" s="26"/>
      <c r="BH33" s="26"/>
      <c r="BI33" s="26"/>
      <c r="BJ33" s="26"/>
      <c r="BK33" s="26"/>
      <c r="BL33" s="26"/>
      <c r="BM33" s="26"/>
      <c r="BN33" s="26"/>
      <c r="BO33" s="26"/>
      <c r="BP33" s="26"/>
      <c r="BQ33" s="26"/>
      <c r="BR33" s="26"/>
      <c r="BS33" s="26"/>
      <c r="BT33" s="26"/>
      <c r="BU33" s="26"/>
      <c r="BV33" s="26"/>
      <c r="BW33" s="26"/>
      <c r="BX33" s="26"/>
      <c r="BY33" s="26"/>
      <c r="BZ33" s="26"/>
      <c r="CA33" s="26"/>
      <c r="CB33" s="26"/>
      <c r="CC33" s="26"/>
      <c r="CD33" s="26"/>
      <c r="CE33" s="26"/>
      <c r="CF33" s="26"/>
      <c r="CG33" s="26"/>
      <c r="CH33" s="26"/>
      <c r="CI33" s="26"/>
      <c r="CJ33" s="26"/>
      <c r="CK33" s="26"/>
      <c r="CL33" s="26"/>
      <c r="CM33" s="26"/>
      <c r="CN33" s="26"/>
      <c r="CO33" s="26"/>
      <c r="CP33" s="26"/>
      <c r="CQ33" s="26"/>
      <c r="CR33" s="26"/>
      <c r="CS33" s="26"/>
      <c r="CT33" s="26"/>
      <c r="CU33" s="26"/>
      <c r="CV33" s="26"/>
      <c r="CW33" s="26"/>
      <c r="CX33" s="26"/>
      <c r="CY33" s="26"/>
      <c r="CZ33" s="26"/>
      <c r="DA33" s="26"/>
      <c r="DB33" s="26"/>
      <c r="DC33" s="26"/>
      <c r="DD33" s="26"/>
      <c r="DE33" s="26"/>
      <c r="DF33" s="26"/>
      <c r="DG33" s="26"/>
      <c r="DH33" s="26"/>
      <c r="DI33" s="26"/>
      <c r="DJ33" s="26"/>
      <c r="DK33" s="26"/>
      <c r="DL33" s="26"/>
      <c r="DM33" s="26"/>
      <c r="DN33" s="26"/>
      <c r="DO33" s="26"/>
      <c r="DP33" s="26"/>
      <c r="DQ33" s="26"/>
      <c r="DR33" s="26"/>
      <c r="DS33" s="26"/>
      <c r="DT33" s="26"/>
      <c r="DU33" s="26"/>
      <c r="DV33" s="26"/>
      <c r="DW33" s="26"/>
      <c r="DX33" s="26"/>
      <c r="DY33" s="26"/>
      <c r="DZ33" s="26"/>
      <c r="EA33" s="26"/>
      <c r="EB33" s="26"/>
      <c r="EC33" s="26"/>
      <c r="ED33" s="26"/>
      <c r="EE33" s="26"/>
      <c r="EF33" s="26"/>
      <c r="EG33" s="26"/>
      <c r="EH33" s="26"/>
      <c r="EI33" s="26"/>
      <c r="EJ33" s="26"/>
      <c r="EK33" s="26"/>
      <c r="EL33" s="26"/>
      <c r="EM33" s="26"/>
      <c r="EN33" s="26"/>
      <c r="EO33" s="26"/>
      <c r="EP33" s="26"/>
      <c r="EQ33" s="26"/>
      <c r="ER33" s="26"/>
      <c r="ES33" s="26"/>
      <c r="ET33" s="26"/>
      <c r="EU33" s="26"/>
      <c r="EV33" s="26"/>
      <c r="EW33" s="26"/>
      <c r="EX33" s="26"/>
      <c r="EY33" s="26"/>
      <c r="EZ33" s="26"/>
      <c r="FA33" s="26"/>
      <c r="FB33" s="26"/>
      <c r="FC33" s="26"/>
      <c r="FD33" s="26"/>
      <c r="FE33" s="26"/>
      <c r="FF33" s="26"/>
    </row>
    <row r="34" spans="1:162" s="3" customFormat="1" ht="30" customHeight="1" thickBot="1" x14ac:dyDescent="0.3">
      <c r="A34" s="58"/>
      <c r="B34" s="35" t="s">
        <v>155</v>
      </c>
      <c r="C34" s="75" t="s">
        <v>92</v>
      </c>
      <c r="D34" s="19">
        <v>0</v>
      </c>
      <c r="E34" s="46">
        <f>F40</f>
        <v>45063</v>
      </c>
      <c r="F34" s="46">
        <f>E34+4</f>
        <v>45067</v>
      </c>
      <c r="G34" s="13"/>
      <c r="H34" s="13"/>
      <c r="I34" s="26"/>
      <c r="J34" s="26"/>
      <c r="K34" s="26"/>
      <c r="L34" s="26"/>
      <c r="M34" s="26"/>
      <c r="N34" s="26"/>
      <c r="O34" s="26"/>
      <c r="P34" s="26"/>
      <c r="Q34" s="26"/>
      <c r="R34" s="26"/>
      <c r="S34" s="26"/>
      <c r="T34" s="26"/>
      <c r="U34" s="26"/>
      <c r="V34" s="26"/>
      <c r="W34" s="26"/>
      <c r="X34" s="26"/>
      <c r="Y34" s="26"/>
      <c r="Z34" s="26"/>
      <c r="AA34" s="26"/>
      <c r="AB34" s="26"/>
      <c r="AC34" s="26"/>
      <c r="AD34" s="26"/>
      <c r="AE34" s="26"/>
      <c r="AF34" s="26"/>
      <c r="AG34" s="26"/>
      <c r="AH34" s="26"/>
      <c r="AI34" s="26"/>
      <c r="AJ34" s="26"/>
      <c r="AK34" s="26"/>
      <c r="AL34" s="26"/>
      <c r="AM34" s="26"/>
      <c r="AN34" s="26"/>
      <c r="AO34" s="26"/>
      <c r="AP34" s="26"/>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6"/>
      <c r="BO34" s="26"/>
      <c r="BP34" s="26"/>
      <c r="BQ34" s="26"/>
      <c r="BR34" s="26"/>
      <c r="BS34" s="26"/>
      <c r="BT34" s="26"/>
      <c r="BU34" s="26"/>
      <c r="BV34" s="26"/>
      <c r="BW34" s="26"/>
      <c r="BX34" s="26"/>
      <c r="BY34" s="26"/>
      <c r="BZ34" s="26"/>
      <c r="CA34" s="26"/>
      <c r="CB34" s="26"/>
      <c r="CC34" s="26"/>
      <c r="CD34" s="26"/>
      <c r="CE34" s="26"/>
      <c r="CF34" s="26"/>
      <c r="CG34" s="26"/>
      <c r="CH34" s="26"/>
      <c r="CI34" s="26"/>
      <c r="CJ34" s="26"/>
      <c r="CK34" s="26"/>
      <c r="CL34" s="26"/>
      <c r="CM34" s="26"/>
      <c r="CN34" s="26"/>
      <c r="CO34" s="26"/>
      <c r="CP34" s="26"/>
      <c r="CQ34" s="26"/>
      <c r="CR34" s="26"/>
      <c r="CS34" s="26"/>
      <c r="CT34" s="26"/>
      <c r="CU34" s="26"/>
      <c r="CV34" s="26"/>
      <c r="CW34" s="26"/>
      <c r="CX34" s="26"/>
      <c r="CY34" s="26"/>
      <c r="CZ34" s="26"/>
      <c r="DA34" s="26"/>
      <c r="DB34" s="26"/>
      <c r="DC34" s="26"/>
      <c r="DD34" s="26"/>
      <c r="DE34" s="26"/>
      <c r="DF34" s="26"/>
      <c r="DG34" s="26"/>
      <c r="DH34" s="26"/>
      <c r="DI34" s="26"/>
      <c r="DJ34" s="26"/>
      <c r="DK34" s="26"/>
      <c r="DL34" s="26"/>
      <c r="DM34" s="26"/>
      <c r="DN34" s="26"/>
      <c r="DO34" s="26"/>
      <c r="DP34" s="26"/>
      <c r="DQ34" s="26"/>
      <c r="DR34" s="26"/>
      <c r="DS34" s="26"/>
      <c r="DT34" s="26"/>
      <c r="DU34" s="26"/>
      <c r="DV34" s="26"/>
      <c r="DW34" s="26"/>
      <c r="DX34" s="26"/>
      <c r="DY34" s="26"/>
      <c r="DZ34" s="26"/>
      <c r="EA34" s="26"/>
      <c r="EB34" s="26"/>
      <c r="EC34" s="26"/>
      <c r="ED34" s="26"/>
      <c r="EE34" s="26"/>
      <c r="EF34" s="26"/>
      <c r="EG34" s="26"/>
      <c r="EH34" s="26"/>
      <c r="EI34" s="26"/>
      <c r="EJ34" s="26"/>
      <c r="EK34" s="26"/>
      <c r="EL34" s="26"/>
      <c r="EM34" s="26"/>
      <c r="EN34" s="26"/>
      <c r="EO34" s="26"/>
      <c r="EP34" s="26"/>
      <c r="EQ34" s="26"/>
      <c r="ER34" s="26"/>
      <c r="ES34" s="26"/>
      <c r="ET34" s="26"/>
      <c r="EU34" s="26"/>
      <c r="EV34" s="26"/>
      <c r="EW34" s="26"/>
      <c r="EX34" s="26"/>
      <c r="EY34" s="26"/>
      <c r="EZ34" s="26"/>
      <c r="FA34" s="26"/>
      <c r="FB34" s="26"/>
      <c r="FC34" s="26"/>
      <c r="FD34" s="26"/>
      <c r="FE34" s="26"/>
      <c r="FF34" s="26"/>
    </row>
    <row r="35" spans="1:162" s="3" customFormat="1" ht="30" customHeight="1" thickBot="1" x14ac:dyDescent="0.3">
      <c r="A35" s="58" t="s">
        <v>23</v>
      </c>
      <c r="B35" s="20" t="s">
        <v>125</v>
      </c>
      <c r="C35" s="21" t="s">
        <v>12</v>
      </c>
      <c r="D35" s="21"/>
      <c r="E35" s="47"/>
      <c r="F35" s="48"/>
      <c r="G35" s="13"/>
      <c r="H35" s="13" t="str">
        <f t="shared" si="78"/>
        <v/>
      </c>
      <c r="I35" s="26"/>
      <c r="J35" s="26"/>
      <c r="K35" s="26"/>
      <c r="L35" s="26"/>
      <c r="M35" s="26"/>
      <c r="N35" s="26"/>
      <c r="O35" s="26"/>
      <c r="P35" s="26"/>
      <c r="Q35" s="26"/>
      <c r="R35" s="26"/>
      <c r="S35" s="26"/>
      <c r="T35" s="26"/>
      <c r="U35" s="26"/>
      <c r="V35" s="26"/>
      <c r="W35" s="26"/>
      <c r="X35" s="26"/>
      <c r="Y35" s="26"/>
      <c r="Z35" s="26"/>
      <c r="AA35" s="26"/>
      <c r="AB35" s="26"/>
      <c r="AC35" s="26"/>
      <c r="AD35" s="26"/>
      <c r="AE35" s="26"/>
      <c r="AF35" s="26"/>
      <c r="AG35" s="26"/>
      <c r="AH35" s="26"/>
      <c r="AI35" s="26"/>
      <c r="AJ35" s="26"/>
      <c r="AK35" s="26"/>
      <c r="AL35" s="26"/>
      <c r="AM35" s="26"/>
      <c r="AN35" s="26"/>
      <c r="AO35" s="26"/>
      <c r="AP35" s="26"/>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6"/>
      <c r="BO35" s="26"/>
      <c r="BP35" s="26"/>
      <c r="BQ35" s="26"/>
      <c r="BR35" s="26"/>
      <c r="BS35" s="26"/>
      <c r="BT35" s="26"/>
      <c r="BU35" s="26"/>
      <c r="BV35" s="26"/>
      <c r="BW35" s="26"/>
      <c r="BX35" s="26"/>
      <c r="BY35" s="26"/>
      <c r="BZ35" s="26"/>
      <c r="CA35" s="26"/>
      <c r="CB35" s="26"/>
      <c r="CC35" s="26"/>
      <c r="CD35" s="26"/>
      <c r="CE35" s="26"/>
      <c r="CF35" s="26"/>
      <c r="CG35" s="26"/>
      <c r="CH35" s="26"/>
      <c r="CI35" s="26"/>
      <c r="CJ35" s="26"/>
      <c r="CK35" s="26"/>
      <c r="CL35" s="26"/>
      <c r="CM35" s="26"/>
      <c r="CN35" s="26"/>
      <c r="CO35" s="26"/>
      <c r="CP35" s="26"/>
      <c r="CQ35" s="26"/>
      <c r="CR35" s="26"/>
      <c r="CS35" s="26"/>
      <c r="CT35" s="26"/>
      <c r="CU35" s="26"/>
      <c r="CV35" s="26"/>
      <c r="CW35" s="26"/>
      <c r="CX35" s="26"/>
      <c r="CY35" s="26"/>
      <c r="CZ35" s="26"/>
      <c r="DA35" s="26"/>
      <c r="DB35" s="26"/>
      <c r="DC35" s="26"/>
      <c r="DD35" s="26"/>
      <c r="DE35" s="26"/>
      <c r="DF35" s="26"/>
      <c r="DG35" s="26"/>
      <c r="DH35" s="26"/>
      <c r="DI35" s="26"/>
      <c r="DJ35" s="26"/>
      <c r="DK35" s="26"/>
      <c r="DL35" s="26"/>
      <c r="DM35" s="26"/>
      <c r="DN35" s="26"/>
      <c r="DO35" s="26"/>
      <c r="DP35" s="26"/>
      <c r="DQ35" s="26"/>
      <c r="DR35" s="26"/>
      <c r="DS35" s="26"/>
      <c r="DT35" s="26"/>
      <c r="DU35" s="26"/>
      <c r="DV35" s="26"/>
      <c r="DW35" s="26"/>
      <c r="DX35" s="26"/>
      <c r="DY35" s="26"/>
      <c r="DZ35" s="26"/>
      <c r="EA35" s="26"/>
      <c r="EB35" s="26"/>
      <c r="EC35" s="26"/>
      <c r="ED35" s="26"/>
      <c r="EE35" s="26"/>
      <c r="EF35" s="26"/>
      <c r="EG35" s="26"/>
      <c r="EH35" s="26"/>
      <c r="EI35" s="26"/>
      <c r="EJ35" s="26"/>
      <c r="EK35" s="26"/>
      <c r="EL35" s="26"/>
      <c r="EM35" s="26"/>
      <c r="EN35" s="26"/>
      <c r="EO35" s="26"/>
      <c r="EP35" s="26"/>
      <c r="EQ35" s="26"/>
      <c r="ER35" s="26"/>
      <c r="ES35" s="26"/>
      <c r="ET35" s="26"/>
      <c r="EU35" s="26"/>
      <c r="EV35" s="26"/>
      <c r="EW35" s="26"/>
      <c r="EX35" s="26"/>
      <c r="EY35" s="26"/>
      <c r="EZ35" s="26"/>
      <c r="FA35" s="26"/>
      <c r="FB35" s="26"/>
      <c r="FC35" s="26"/>
      <c r="FD35" s="26"/>
      <c r="FE35" s="26"/>
      <c r="FF35" s="26"/>
    </row>
    <row r="36" spans="1:162" s="3" customFormat="1" ht="30" customHeight="1" thickBot="1" x14ac:dyDescent="0.3">
      <c r="A36" s="58"/>
      <c r="B36" s="36" t="s">
        <v>139</v>
      </c>
      <c r="C36" s="22" t="s">
        <v>38</v>
      </c>
      <c r="D36" s="22">
        <v>0</v>
      </c>
      <c r="E36" s="49">
        <f>F15</f>
        <v>45021</v>
      </c>
      <c r="F36" s="49">
        <f>E36+10</f>
        <v>45031</v>
      </c>
      <c r="G36" s="13"/>
      <c r="H36" s="13">
        <f t="shared" si="78"/>
        <v>11</v>
      </c>
      <c r="I36" s="26"/>
      <c r="J36" s="26"/>
      <c r="K36" s="26"/>
      <c r="L36" s="26"/>
      <c r="M36" s="26"/>
      <c r="N36" s="26"/>
      <c r="O36" s="26"/>
      <c r="P36" s="26"/>
      <c r="Q36" s="26"/>
      <c r="R36" s="26"/>
      <c r="S36" s="26"/>
      <c r="T36" s="26"/>
      <c r="U36" s="26"/>
      <c r="V36" s="26"/>
      <c r="W36" s="26"/>
      <c r="X36" s="26"/>
      <c r="Y36" s="26"/>
      <c r="Z36" s="26"/>
      <c r="AA36" s="26"/>
      <c r="AB36" s="26"/>
      <c r="AC36" s="26"/>
      <c r="AD36" s="26"/>
      <c r="AE36" s="26"/>
      <c r="AF36" s="26"/>
      <c r="AG36" s="26"/>
      <c r="AH36" s="26"/>
      <c r="AI36" s="26"/>
      <c r="AJ36" s="26"/>
      <c r="AK36" s="26"/>
      <c r="AL36" s="26"/>
      <c r="AM36" s="26"/>
      <c r="AN36" s="26"/>
      <c r="AO36" s="26"/>
      <c r="AP36" s="26"/>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6"/>
      <c r="BO36" s="26"/>
      <c r="BP36" s="26"/>
      <c r="BQ36" s="26"/>
      <c r="BR36" s="26"/>
      <c r="BS36" s="26"/>
      <c r="BT36" s="26"/>
      <c r="BU36" s="26"/>
      <c r="BV36" s="26"/>
      <c r="BW36" s="26"/>
      <c r="BX36" s="26"/>
      <c r="BY36" s="26"/>
      <c r="BZ36" s="26"/>
      <c r="CA36" s="26"/>
      <c r="CB36" s="26"/>
      <c r="CC36" s="26"/>
      <c r="CD36" s="26"/>
      <c r="CE36" s="26"/>
      <c r="CF36" s="26"/>
      <c r="CG36" s="26"/>
      <c r="CH36" s="26"/>
      <c r="CI36" s="26"/>
      <c r="CJ36" s="26"/>
      <c r="CK36" s="26"/>
      <c r="CL36" s="26"/>
      <c r="CM36" s="26"/>
      <c r="CN36" s="26"/>
      <c r="CO36" s="26"/>
      <c r="CP36" s="26"/>
      <c r="CQ36" s="26"/>
      <c r="CR36" s="26"/>
      <c r="CS36" s="26"/>
      <c r="CT36" s="26"/>
      <c r="CU36" s="26"/>
      <c r="CV36" s="26"/>
      <c r="CW36" s="26"/>
      <c r="CX36" s="26"/>
      <c r="CY36" s="26"/>
      <c r="CZ36" s="26"/>
      <c r="DA36" s="26"/>
      <c r="DB36" s="26"/>
      <c r="DC36" s="26"/>
      <c r="DD36" s="26"/>
      <c r="DE36" s="26"/>
      <c r="DF36" s="26"/>
      <c r="DG36" s="26"/>
      <c r="DH36" s="26"/>
      <c r="DI36" s="26"/>
      <c r="DJ36" s="26"/>
      <c r="DK36" s="26"/>
      <c r="DL36" s="26"/>
      <c r="DM36" s="26"/>
      <c r="DN36" s="26"/>
      <c r="DO36" s="26"/>
      <c r="DP36" s="26"/>
      <c r="DQ36" s="26"/>
      <c r="DR36" s="26"/>
      <c r="DS36" s="26"/>
      <c r="DT36" s="26"/>
      <c r="DU36" s="26"/>
      <c r="DV36" s="26"/>
      <c r="DW36" s="26"/>
      <c r="DX36" s="26"/>
      <c r="DY36" s="26"/>
      <c r="DZ36" s="26"/>
      <c r="EA36" s="26"/>
      <c r="EB36" s="26"/>
      <c r="EC36" s="26"/>
      <c r="ED36" s="26"/>
      <c r="EE36" s="26"/>
      <c r="EF36" s="26"/>
      <c r="EG36" s="26"/>
      <c r="EH36" s="26"/>
      <c r="EI36" s="26"/>
      <c r="EJ36" s="26"/>
      <c r="EK36" s="26"/>
      <c r="EL36" s="26"/>
      <c r="EM36" s="26"/>
      <c r="EN36" s="26"/>
      <c r="EO36" s="26"/>
      <c r="EP36" s="26"/>
      <c r="EQ36" s="26"/>
      <c r="ER36" s="26"/>
      <c r="ES36" s="26"/>
      <c r="ET36" s="26"/>
      <c r="EU36" s="26"/>
      <c r="EV36" s="26"/>
      <c r="EW36" s="26"/>
      <c r="EX36" s="26"/>
      <c r="EY36" s="26"/>
      <c r="EZ36" s="26"/>
      <c r="FA36" s="26"/>
      <c r="FB36" s="26"/>
      <c r="FC36" s="26"/>
      <c r="FD36" s="26"/>
      <c r="FE36" s="26"/>
      <c r="FF36" s="26"/>
    </row>
    <row r="37" spans="1:162" s="3" customFormat="1" ht="30" customHeight="1" thickBot="1" x14ac:dyDescent="0.3">
      <c r="A37" s="58"/>
      <c r="B37" s="36" t="s">
        <v>148</v>
      </c>
      <c r="C37" s="22" t="s">
        <v>38</v>
      </c>
      <c r="D37" s="22">
        <v>0</v>
      </c>
      <c r="E37" s="49">
        <f>F30</f>
        <v>45051</v>
      </c>
      <c r="F37" s="49">
        <f>E37+2</f>
        <v>45053</v>
      </c>
      <c r="G37" s="13"/>
      <c r="H37" s="13">
        <f t="shared" si="78"/>
        <v>3</v>
      </c>
      <c r="I37" s="26"/>
      <c r="J37" s="26"/>
      <c r="K37" s="26"/>
      <c r="L37" s="26"/>
      <c r="M37" s="26"/>
      <c r="N37" s="26"/>
      <c r="O37" s="26"/>
      <c r="P37" s="26"/>
      <c r="Q37" s="26"/>
      <c r="R37" s="26"/>
      <c r="S37" s="26"/>
      <c r="T37" s="26"/>
      <c r="U37" s="26"/>
      <c r="V37" s="26"/>
      <c r="W37" s="26"/>
      <c r="X37" s="26"/>
      <c r="Y37" s="26"/>
      <c r="Z37" s="26"/>
      <c r="AA37" s="26"/>
      <c r="AB37" s="26"/>
      <c r="AC37" s="26"/>
      <c r="AD37" s="26"/>
      <c r="AE37" s="26"/>
      <c r="AF37" s="26"/>
      <c r="AG37" s="26"/>
      <c r="AH37" s="26"/>
      <c r="AI37" s="26"/>
      <c r="AJ37" s="26"/>
      <c r="AK37" s="26"/>
      <c r="AL37" s="26"/>
      <c r="AM37" s="26"/>
      <c r="AN37" s="26"/>
      <c r="AO37" s="26"/>
      <c r="AP37" s="26"/>
      <c r="AQ37" s="26"/>
      <c r="AR37" s="26"/>
      <c r="AS37" s="26"/>
      <c r="AT37" s="26"/>
      <c r="AU37" s="26"/>
      <c r="AV37" s="26"/>
      <c r="AW37" s="26"/>
      <c r="AX37" s="26"/>
      <c r="AY37" s="26"/>
      <c r="AZ37" s="26"/>
      <c r="BA37" s="26"/>
      <c r="BB37" s="26"/>
      <c r="BC37" s="26"/>
      <c r="BD37" s="26"/>
      <c r="BE37" s="26"/>
      <c r="BF37" s="26"/>
      <c r="BG37" s="26"/>
      <c r="BH37" s="26"/>
      <c r="BI37" s="26"/>
      <c r="BJ37" s="26"/>
      <c r="BK37" s="26"/>
      <c r="BL37" s="26"/>
      <c r="BM37" s="26"/>
      <c r="BN37" s="26"/>
      <c r="BO37" s="26"/>
      <c r="BP37" s="26"/>
      <c r="BQ37" s="26"/>
      <c r="BR37" s="26"/>
      <c r="BS37" s="26"/>
      <c r="BT37" s="26"/>
      <c r="BU37" s="26"/>
      <c r="BV37" s="26"/>
      <c r="BW37" s="26"/>
      <c r="BX37" s="26"/>
      <c r="BY37" s="26"/>
      <c r="BZ37" s="26"/>
      <c r="CA37" s="26"/>
      <c r="CB37" s="26"/>
      <c r="CC37" s="26"/>
      <c r="CD37" s="26"/>
      <c r="CE37" s="26"/>
      <c r="CF37" s="26"/>
      <c r="CG37" s="26"/>
      <c r="CH37" s="26"/>
      <c r="CI37" s="26"/>
      <c r="CJ37" s="26"/>
      <c r="CK37" s="26"/>
      <c r="CL37" s="26"/>
      <c r="CM37" s="26"/>
      <c r="CN37" s="26"/>
      <c r="CO37" s="26"/>
      <c r="CP37" s="26"/>
      <c r="CQ37" s="26"/>
      <c r="CR37" s="26"/>
      <c r="CS37" s="26"/>
      <c r="CT37" s="26"/>
      <c r="CU37" s="26"/>
      <c r="CV37" s="26"/>
      <c r="CW37" s="26"/>
      <c r="CX37" s="26"/>
      <c r="CY37" s="26"/>
      <c r="CZ37" s="26"/>
      <c r="DA37" s="26"/>
      <c r="DB37" s="26"/>
      <c r="DC37" s="26"/>
      <c r="DD37" s="26"/>
      <c r="DE37" s="26"/>
      <c r="DF37" s="26"/>
      <c r="DG37" s="26"/>
      <c r="DH37" s="26"/>
      <c r="DI37" s="26"/>
      <c r="DJ37" s="26"/>
      <c r="DK37" s="26"/>
      <c r="DL37" s="26"/>
      <c r="DM37" s="26"/>
      <c r="DN37" s="26"/>
      <c r="DO37" s="26"/>
      <c r="DP37" s="26"/>
      <c r="DQ37" s="26"/>
      <c r="DR37" s="26"/>
      <c r="DS37" s="26"/>
      <c r="DT37" s="26"/>
      <c r="DU37" s="26"/>
      <c r="DV37" s="26"/>
      <c r="DW37" s="26"/>
      <c r="DX37" s="26"/>
      <c r="DY37" s="26"/>
      <c r="DZ37" s="26"/>
      <c r="EA37" s="26"/>
      <c r="EB37" s="26"/>
      <c r="EC37" s="26"/>
      <c r="ED37" s="26"/>
      <c r="EE37" s="26"/>
      <c r="EF37" s="26"/>
      <c r="EG37" s="26"/>
      <c r="EH37" s="26"/>
      <c r="EI37" s="26"/>
      <c r="EJ37" s="26"/>
      <c r="EK37" s="26"/>
      <c r="EL37" s="26"/>
      <c r="EM37" s="26"/>
      <c r="EN37" s="26"/>
      <c r="EO37" s="26"/>
      <c r="EP37" s="26"/>
      <c r="EQ37" s="26"/>
      <c r="ER37" s="26"/>
      <c r="ES37" s="26"/>
      <c r="ET37" s="26"/>
      <c r="EU37" s="26"/>
      <c r="EV37" s="26"/>
      <c r="EW37" s="26"/>
      <c r="EX37" s="26"/>
      <c r="EY37" s="26"/>
      <c r="EZ37" s="26"/>
      <c r="FA37" s="26"/>
      <c r="FB37" s="26"/>
      <c r="FC37" s="26"/>
      <c r="FD37" s="26"/>
      <c r="FE37" s="26"/>
      <c r="FF37" s="26"/>
    </row>
    <row r="38" spans="1:162" s="3" customFormat="1" ht="30" customHeight="1" thickBot="1" x14ac:dyDescent="0.3">
      <c r="A38" s="58" t="s">
        <v>23</v>
      </c>
      <c r="B38" s="23" t="s">
        <v>126</v>
      </c>
      <c r="C38" s="24" t="s">
        <v>12</v>
      </c>
      <c r="D38" s="24"/>
      <c r="E38" s="50"/>
      <c r="F38" s="51"/>
      <c r="G38" s="13"/>
      <c r="H38" s="13" t="str">
        <f t="shared" si="78"/>
        <v/>
      </c>
      <c r="I38" s="26"/>
      <c r="J38" s="26"/>
      <c r="K38" s="26"/>
      <c r="L38" s="26"/>
      <c r="M38" s="26"/>
      <c r="N38" s="26"/>
      <c r="O38" s="26"/>
      <c r="P38" s="26"/>
      <c r="Q38" s="26"/>
      <c r="R38" s="26"/>
      <c r="S38" s="26"/>
      <c r="T38" s="26"/>
      <c r="U38" s="26"/>
      <c r="V38" s="26"/>
      <c r="W38" s="26"/>
      <c r="X38" s="26"/>
      <c r="Y38" s="26"/>
      <c r="Z38" s="26"/>
      <c r="AA38" s="26"/>
      <c r="AB38" s="26"/>
      <c r="AC38" s="26"/>
      <c r="AD38" s="26"/>
      <c r="AE38" s="26"/>
      <c r="AF38" s="26"/>
      <c r="AG38" s="26"/>
      <c r="AH38" s="26"/>
      <c r="AI38" s="26"/>
      <c r="AJ38" s="26"/>
      <c r="AK38" s="26"/>
      <c r="AL38" s="26"/>
      <c r="AM38" s="26"/>
      <c r="AN38" s="26"/>
      <c r="AO38" s="26"/>
      <c r="AP38" s="26"/>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6"/>
      <c r="BO38" s="26"/>
      <c r="BP38" s="26"/>
      <c r="BQ38" s="26"/>
      <c r="BR38" s="26"/>
      <c r="BS38" s="26"/>
      <c r="BT38" s="26"/>
      <c r="BU38" s="26"/>
      <c r="BV38" s="26"/>
      <c r="BW38" s="26"/>
      <c r="BX38" s="26"/>
      <c r="BY38" s="26"/>
      <c r="BZ38" s="26"/>
      <c r="CA38" s="26"/>
      <c r="CB38" s="26"/>
      <c r="CC38" s="26"/>
      <c r="CD38" s="26"/>
      <c r="CE38" s="26"/>
      <c r="CF38" s="26"/>
      <c r="CG38" s="26"/>
      <c r="CH38" s="26"/>
      <c r="CI38" s="26"/>
      <c r="CJ38" s="26"/>
      <c r="CK38" s="26"/>
      <c r="CL38" s="26"/>
      <c r="CM38" s="26"/>
      <c r="CN38" s="26"/>
      <c r="CO38" s="26"/>
      <c r="CP38" s="26"/>
      <c r="CQ38" s="26"/>
      <c r="CR38" s="26"/>
      <c r="CS38" s="26"/>
      <c r="CT38" s="26"/>
      <c r="CU38" s="26"/>
      <c r="CV38" s="26"/>
      <c r="CW38" s="26"/>
      <c r="CX38" s="26"/>
      <c r="CY38" s="26"/>
      <c r="CZ38" s="26"/>
      <c r="DA38" s="26"/>
      <c r="DB38" s="26"/>
      <c r="DC38" s="26"/>
      <c r="DD38" s="26"/>
      <c r="DE38" s="26"/>
      <c r="DF38" s="26"/>
      <c r="DG38" s="26"/>
      <c r="DH38" s="26"/>
      <c r="DI38" s="26"/>
      <c r="DJ38" s="26"/>
      <c r="DK38" s="26"/>
      <c r="DL38" s="26"/>
      <c r="DM38" s="26"/>
      <c r="DN38" s="26"/>
      <c r="DO38" s="26"/>
      <c r="DP38" s="26"/>
      <c r="DQ38" s="26"/>
      <c r="DR38" s="26"/>
      <c r="DS38" s="26"/>
      <c r="DT38" s="26"/>
      <c r="DU38" s="26"/>
      <c r="DV38" s="26"/>
      <c r="DW38" s="26"/>
      <c r="DX38" s="26"/>
      <c r="DY38" s="26"/>
      <c r="DZ38" s="26"/>
      <c r="EA38" s="26"/>
      <c r="EB38" s="26"/>
      <c r="EC38" s="26"/>
      <c r="ED38" s="26"/>
      <c r="EE38" s="26"/>
      <c r="EF38" s="26"/>
      <c r="EG38" s="26"/>
      <c r="EH38" s="26"/>
      <c r="EI38" s="26"/>
      <c r="EJ38" s="26"/>
      <c r="EK38" s="26"/>
      <c r="EL38" s="26"/>
      <c r="EM38" s="26"/>
      <c r="EN38" s="26"/>
      <c r="EO38" s="26"/>
      <c r="EP38" s="26"/>
      <c r="EQ38" s="26"/>
      <c r="ER38" s="26"/>
      <c r="ES38" s="26"/>
      <c r="ET38" s="26"/>
      <c r="EU38" s="26"/>
      <c r="EV38" s="26"/>
      <c r="EW38" s="26"/>
      <c r="EX38" s="26"/>
      <c r="EY38" s="26"/>
      <c r="EZ38" s="26"/>
      <c r="FA38" s="26"/>
      <c r="FB38" s="26"/>
      <c r="FC38" s="26"/>
      <c r="FD38" s="26"/>
      <c r="FE38" s="26"/>
      <c r="FF38" s="26"/>
    </row>
    <row r="39" spans="1:162" s="3" customFormat="1" ht="30" customHeight="1" thickBot="1" x14ac:dyDescent="0.3">
      <c r="A39" s="58"/>
      <c r="B39" s="37" t="s">
        <v>153</v>
      </c>
      <c r="C39" s="25" t="s">
        <v>32</v>
      </c>
      <c r="D39" s="25">
        <v>0</v>
      </c>
      <c r="E39" s="52">
        <f>F19</f>
        <v>45057</v>
      </c>
      <c r="F39" s="52">
        <f>E39+3</f>
        <v>45060</v>
      </c>
      <c r="G39" s="13"/>
      <c r="H39" s="13">
        <f t="shared" si="78"/>
        <v>4</v>
      </c>
      <c r="I39" s="26"/>
      <c r="J39" s="26"/>
      <c r="K39" s="26"/>
      <c r="L39" s="26"/>
      <c r="M39" s="26"/>
      <c r="N39" s="26"/>
      <c r="O39" s="26"/>
      <c r="P39" s="26"/>
      <c r="Q39" s="26"/>
      <c r="R39" s="26"/>
      <c r="S39" s="26"/>
      <c r="T39" s="26"/>
      <c r="U39" s="26"/>
      <c r="V39" s="26"/>
      <c r="W39" s="26"/>
      <c r="X39" s="26"/>
      <c r="Y39" s="26"/>
      <c r="Z39" s="26"/>
      <c r="AA39" s="26"/>
      <c r="AB39" s="26"/>
      <c r="AC39" s="26"/>
      <c r="AD39" s="26"/>
      <c r="AE39" s="26"/>
      <c r="AF39" s="26"/>
      <c r="AG39" s="26"/>
      <c r="AH39" s="26"/>
      <c r="AI39" s="26"/>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6"/>
      <c r="BO39" s="26"/>
      <c r="BP39" s="26"/>
      <c r="BQ39" s="26"/>
      <c r="BR39" s="26"/>
      <c r="BS39" s="26"/>
      <c r="BT39" s="26"/>
      <c r="BU39" s="26"/>
      <c r="BV39" s="26"/>
      <c r="BW39" s="26"/>
      <c r="BX39" s="26"/>
      <c r="BY39" s="26"/>
      <c r="BZ39" s="26"/>
      <c r="CA39" s="26"/>
      <c r="CB39" s="26"/>
      <c r="CC39" s="26"/>
      <c r="CD39" s="26"/>
      <c r="CE39" s="26"/>
      <c r="CF39" s="26"/>
      <c r="CG39" s="26"/>
      <c r="CH39" s="26"/>
      <c r="CI39" s="26"/>
      <c r="CJ39" s="26"/>
      <c r="CK39" s="26"/>
      <c r="CL39" s="26"/>
      <c r="CM39" s="26"/>
      <c r="CN39" s="26"/>
      <c r="CO39" s="26"/>
      <c r="CP39" s="26"/>
      <c r="CQ39" s="26"/>
      <c r="CR39" s="26"/>
      <c r="CS39" s="26"/>
      <c r="CT39" s="26"/>
      <c r="CU39" s="26"/>
      <c r="CV39" s="26"/>
      <c r="CW39" s="26"/>
      <c r="CX39" s="26"/>
      <c r="CY39" s="26"/>
      <c r="CZ39" s="26"/>
      <c r="DA39" s="26"/>
      <c r="DB39" s="26"/>
      <c r="DC39" s="26"/>
      <c r="DD39" s="26"/>
      <c r="DE39" s="26"/>
      <c r="DF39" s="26"/>
      <c r="DG39" s="26"/>
      <c r="DH39" s="26"/>
      <c r="DI39" s="26"/>
      <c r="DJ39" s="26"/>
      <c r="DK39" s="26"/>
      <c r="DL39" s="26"/>
      <c r="DM39" s="26"/>
      <c r="DN39" s="26"/>
      <c r="DO39" s="26"/>
      <c r="DP39" s="26"/>
      <c r="DQ39" s="26"/>
      <c r="DR39" s="26"/>
      <c r="DS39" s="26"/>
      <c r="DT39" s="26"/>
      <c r="DU39" s="26"/>
      <c r="DV39" s="26"/>
      <c r="DW39" s="26"/>
      <c r="DX39" s="26"/>
      <c r="DY39" s="26"/>
      <c r="DZ39" s="26"/>
      <c r="EA39" s="26"/>
      <c r="EB39" s="26"/>
      <c r="EC39" s="26"/>
      <c r="ED39" s="26"/>
      <c r="EE39" s="26"/>
      <c r="EF39" s="26"/>
      <c r="EG39" s="26"/>
      <c r="EH39" s="26"/>
      <c r="EI39" s="26"/>
      <c r="EJ39" s="26"/>
      <c r="EK39" s="26"/>
      <c r="EL39" s="26"/>
      <c r="EM39" s="26"/>
      <c r="EN39" s="26"/>
      <c r="EO39" s="26"/>
      <c r="EP39" s="26"/>
      <c r="EQ39" s="26"/>
      <c r="ER39" s="26"/>
      <c r="ES39" s="26"/>
      <c r="ET39" s="26"/>
      <c r="EU39" s="26"/>
      <c r="EV39" s="26"/>
      <c r="EW39" s="26"/>
      <c r="EX39" s="26"/>
      <c r="EY39" s="26"/>
      <c r="EZ39" s="26"/>
      <c r="FA39" s="26"/>
      <c r="FB39" s="26"/>
      <c r="FC39" s="26"/>
      <c r="FD39" s="26"/>
      <c r="FE39" s="26"/>
      <c r="FF39" s="26"/>
    </row>
    <row r="40" spans="1:162" s="3" customFormat="1" ht="30" customHeight="1" thickBot="1" x14ac:dyDescent="0.3">
      <c r="A40" s="58"/>
      <c r="B40" s="37" t="s">
        <v>154</v>
      </c>
      <c r="C40" s="25" t="s">
        <v>38</v>
      </c>
      <c r="D40" s="25">
        <v>0</v>
      </c>
      <c r="E40" s="49">
        <f>F39</f>
        <v>45060</v>
      </c>
      <c r="F40" s="49">
        <f>E40+3</f>
        <v>45063</v>
      </c>
      <c r="G40" s="13"/>
      <c r="H40" s="13">
        <f t="shared" si="78"/>
        <v>4</v>
      </c>
      <c r="I40" s="26"/>
      <c r="J40" s="26"/>
      <c r="K40" s="26"/>
      <c r="L40" s="26"/>
      <c r="M40" s="26"/>
      <c r="N40" s="26"/>
      <c r="O40" s="26"/>
      <c r="P40" s="26"/>
      <c r="Q40" s="26"/>
      <c r="R40" s="26"/>
      <c r="S40" s="26"/>
      <c r="T40" s="26"/>
      <c r="U40" s="26"/>
      <c r="V40" s="26"/>
      <c r="W40" s="26"/>
      <c r="X40" s="26"/>
      <c r="Y40" s="26"/>
      <c r="Z40" s="26"/>
      <c r="AA40" s="26"/>
      <c r="AB40" s="26"/>
      <c r="AC40" s="26"/>
      <c r="AD40" s="26"/>
      <c r="AE40" s="26"/>
      <c r="AF40" s="26"/>
      <c r="AG40" s="26"/>
      <c r="AH40" s="26"/>
      <c r="AI40" s="26"/>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c r="BS40" s="26"/>
      <c r="BT40" s="26"/>
      <c r="BU40" s="26"/>
      <c r="BV40" s="26"/>
      <c r="BW40" s="26"/>
      <c r="BX40" s="26"/>
      <c r="BY40" s="26"/>
      <c r="BZ40" s="26"/>
      <c r="CA40" s="26"/>
      <c r="CB40" s="26"/>
      <c r="CC40" s="26"/>
      <c r="CD40" s="26"/>
      <c r="CE40" s="26"/>
      <c r="CF40" s="26"/>
      <c r="CG40" s="26"/>
      <c r="CH40" s="26"/>
      <c r="CI40" s="26"/>
      <c r="CJ40" s="26"/>
      <c r="CK40" s="26"/>
      <c r="CL40" s="26"/>
      <c r="CM40" s="26"/>
      <c r="CN40" s="26"/>
      <c r="CO40" s="26"/>
      <c r="CP40" s="26"/>
      <c r="CQ40" s="26"/>
      <c r="CR40" s="26"/>
      <c r="CS40" s="26"/>
      <c r="CT40" s="26"/>
      <c r="CU40" s="26"/>
      <c r="CV40" s="26"/>
      <c r="CW40" s="26"/>
      <c r="CX40" s="26"/>
      <c r="CY40" s="26"/>
      <c r="CZ40" s="26"/>
      <c r="DA40" s="26"/>
      <c r="DB40" s="26"/>
      <c r="DC40" s="26"/>
      <c r="DD40" s="26"/>
      <c r="DE40" s="26"/>
      <c r="DF40" s="26"/>
      <c r="DG40" s="26"/>
      <c r="DH40" s="26"/>
      <c r="DI40" s="26"/>
      <c r="DJ40" s="26"/>
      <c r="DK40" s="26"/>
      <c r="DL40" s="26"/>
      <c r="DM40" s="26"/>
      <c r="DN40" s="26"/>
      <c r="DO40" s="26"/>
      <c r="DP40" s="26"/>
      <c r="DQ40" s="26"/>
      <c r="DR40" s="26"/>
      <c r="DS40" s="26"/>
      <c r="DT40" s="26"/>
      <c r="DU40" s="26"/>
      <c r="DV40" s="26"/>
      <c r="DW40" s="26"/>
      <c r="DX40" s="26"/>
      <c r="DY40" s="26"/>
      <c r="DZ40" s="26"/>
      <c r="EA40" s="26"/>
      <c r="EB40" s="26"/>
      <c r="EC40" s="26"/>
      <c r="ED40" s="26"/>
      <c r="EE40" s="26"/>
      <c r="EF40" s="26"/>
      <c r="EG40" s="26"/>
      <c r="EH40" s="26"/>
      <c r="EI40" s="26"/>
      <c r="EJ40" s="26"/>
      <c r="EK40" s="26"/>
      <c r="EL40" s="26"/>
      <c r="EM40" s="26"/>
      <c r="EN40" s="26"/>
      <c r="EO40" s="26"/>
      <c r="EP40" s="26"/>
      <c r="EQ40" s="26"/>
      <c r="ER40" s="26"/>
      <c r="ES40" s="26"/>
      <c r="ET40" s="26"/>
      <c r="EU40" s="26"/>
      <c r="EV40" s="26"/>
      <c r="EW40" s="26"/>
      <c r="EX40" s="26"/>
      <c r="EY40" s="26"/>
      <c r="EZ40" s="26"/>
      <c r="FA40" s="26"/>
      <c r="FB40" s="26"/>
      <c r="FC40" s="26"/>
      <c r="FD40" s="26"/>
      <c r="FE40" s="26"/>
      <c r="FF40" s="26"/>
    </row>
    <row r="41" spans="1:162" ht="30" customHeight="1" x14ac:dyDescent="0.25">
      <c r="A41" s="56"/>
      <c r="G41" s="6"/>
    </row>
    <row r="42" spans="1:162" ht="30" customHeight="1" x14ac:dyDescent="0.25">
      <c r="C42" s="11"/>
      <c r="F42" s="30"/>
    </row>
    <row r="43" spans="1:162" ht="30" customHeight="1" x14ac:dyDescent="0.25">
      <c r="C43" s="12"/>
    </row>
  </sheetData>
  <mergeCells count="25">
    <mergeCell ref="EE4:EK4"/>
    <mergeCell ref="EL4:ER4"/>
    <mergeCell ref="ES4:EY4"/>
    <mergeCell ref="EZ4:FF4"/>
    <mergeCell ref="CV4:DB4"/>
    <mergeCell ref="DC4:DI4"/>
    <mergeCell ref="DJ4:DP4"/>
    <mergeCell ref="DQ4:DW4"/>
    <mergeCell ref="DX4:ED4"/>
    <mergeCell ref="BM4:BS4"/>
    <mergeCell ref="BT4:BZ4"/>
    <mergeCell ref="CA4:CG4"/>
    <mergeCell ref="CH4:CN4"/>
    <mergeCell ref="CO4:CU4"/>
    <mergeCell ref="C3:D3"/>
    <mergeCell ref="C4:D4"/>
    <mergeCell ref="AK4:AQ4"/>
    <mergeCell ref="AR4:AX4"/>
    <mergeCell ref="AY4:BE4"/>
    <mergeCell ref="BF4:BL4"/>
    <mergeCell ref="E3:F3"/>
    <mergeCell ref="I4:O4"/>
    <mergeCell ref="P4:V4"/>
    <mergeCell ref="W4:AC4"/>
    <mergeCell ref="AD4:AJ4"/>
  </mergeCells>
  <phoneticPr fontId="32" type="noConversion"/>
  <conditionalFormatting sqref="D7:D40">
    <cfRule type="dataBar" priority="60">
      <dataBar>
        <cfvo type="num" val="0"/>
        <cfvo type="num" val="1"/>
        <color theme="0" tint="-0.249977111117893"/>
      </dataBar>
      <extLst>
        <ext xmlns:x14="http://schemas.microsoft.com/office/spreadsheetml/2009/9/main" uri="{B025F937-C7B1-47D3-B67F-A62EFF666E3E}">
          <x14:id>{B0389232-4C98-4A03-AD0E-39F63BAD1F53}</x14:id>
        </ext>
      </extLst>
    </cfRule>
  </conditionalFormatting>
  <conditionalFormatting sqref="I5:FF40">
    <cfRule type="expression" dxfId="2" priority="79">
      <formula>AND(TODAY()&gt;=I$5,TODAY()&lt;J$5)</formula>
    </cfRule>
  </conditionalFormatting>
  <conditionalFormatting sqref="I7:FF40">
    <cfRule type="expression" dxfId="1" priority="73">
      <formula>AND(task_start&lt;=I$5,ROUNDDOWN((task_end-task_start+1)*task_progress,0)+task_start-1&gt;=I$5)</formula>
    </cfRule>
    <cfRule type="expression" dxfId="0" priority="74" stopIfTrue="1">
      <formula>AND(task_end&gt;=I$5,task_start&lt;J$5)</formula>
    </cfRule>
  </conditionalFormatting>
  <conditionalFormatting sqref="C35">
    <cfRule type="dataBar" priority="4">
      <dataBar>
        <cfvo type="num" val="0"/>
        <cfvo type="num" val="1"/>
        <color theme="0" tint="-0.249977111117893"/>
      </dataBar>
      <extLst>
        <ext xmlns:x14="http://schemas.microsoft.com/office/spreadsheetml/2009/9/main" uri="{B025F937-C7B1-47D3-B67F-A62EFF666E3E}">
          <x14:id>{FAA3F86F-633C-4701-9346-AA06132AC67E}</x14:id>
        </ext>
      </extLst>
    </cfRule>
  </conditionalFormatting>
  <conditionalFormatting sqref="C36:C37">
    <cfRule type="dataBar" priority="3">
      <dataBar>
        <cfvo type="num" val="0"/>
        <cfvo type="num" val="1"/>
        <color theme="0" tint="-0.249977111117893"/>
      </dataBar>
      <extLst>
        <ext xmlns:x14="http://schemas.microsoft.com/office/spreadsheetml/2009/9/main" uri="{B025F937-C7B1-47D3-B67F-A62EFF666E3E}">
          <x14:id>{E2CA88DF-475B-4FC7-99CA-88CDCCCD4482}</x14:id>
        </ext>
      </extLst>
    </cfRule>
  </conditionalFormatting>
  <conditionalFormatting sqref="C38">
    <cfRule type="dataBar" priority="2">
      <dataBar>
        <cfvo type="num" val="0"/>
        <cfvo type="num" val="1"/>
        <color theme="0" tint="-0.249977111117893"/>
      </dataBar>
      <extLst>
        <ext xmlns:x14="http://schemas.microsoft.com/office/spreadsheetml/2009/9/main" uri="{B025F937-C7B1-47D3-B67F-A62EFF666E3E}">
          <x14:id>{4ED1946A-A154-462A-A87D-D79F025604AA}</x14:id>
        </ext>
      </extLst>
    </cfRule>
  </conditionalFormatting>
  <conditionalFormatting sqref="C39:C40">
    <cfRule type="dataBar" priority="1">
      <dataBar>
        <cfvo type="num" val="0"/>
        <cfvo type="num" val="1"/>
        <color theme="0" tint="-0.249977111117893"/>
      </dataBar>
      <extLst>
        <ext xmlns:x14="http://schemas.microsoft.com/office/spreadsheetml/2009/9/main" uri="{B025F937-C7B1-47D3-B67F-A62EFF666E3E}">
          <x14:id>{6E5E221A-0253-49D0-A0AD-388426FED34C}</x14:id>
        </ext>
      </extLst>
    </cfRule>
  </conditionalFormatting>
  <dataValidations count="1">
    <dataValidation type="whole" operator="greaterThanOrEqual" allowBlank="1" showInputMessage="1" promptTitle="Mostrar semana" prompt="Al cambiar este número, se desplazará la vista del diagrama de Gantt." sqref="E4" xr:uid="{00000000-0002-0000-0000-000000000000}">
      <formula1>1</formula1>
    </dataValidation>
  </dataValidations>
  <printOptions horizontalCentered="1"/>
  <pageMargins left="0.35" right="0.35" top="0.35" bottom="0.5" header="0.3" footer="0.3"/>
  <pageSetup paperSize="9" scale="51" fitToHeight="0" orientation="landscape" r:id="rId1"/>
  <headerFooter differentFirst="1" scaleWithDoc="0">
    <oddFooter>Page &amp;P of &amp;N</oddFooter>
  </headerFooter>
  <drawing r:id="rId2"/>
  <extLst>
    <ext xmlns:x14="http://schemas.microsoft.com/office/spreadsheetml/2009/9/main" uri="{78C0D931-6437-407d-A8EE-F0AAD7539E65}">
      <x14:conditionalFormattings>
        <x14:conditionalFormatting xmlns:xm="http://schemas.microsoft.com/office/excel/2006/main">
          <x14:cfRule type="dataBar" id="{B0389232-4C98-4A03-AD0E-39F63BAD1F53}">
            <x14:dataBar minLength="0" maxLength="100" gradient="0">
              <x14:cfvo type="num">
                <xm:f>0</xm:f>
              </x14:cfvo>
              <x14:cfvo type="num">
                <xm:f>1</xm:f>
              </x14:cfvo>
              <x14:negativeFillColor rgb="FFFF0000"/>
              <x14:axisColor rgb="FF000000"/>
            </x14:dataBar>
          </x14:cfRule>
          <xm:sqref>D7:D40</xm:sqref>
        </x14:conditionalFormatting>
        <x14:conditionalFormatting xmlns:xm="http://schemas.microsoft.com/office/excel/2006/main">
          <x14:cfRule type="dataBar" id="{FAA3F86F-633C-4701-9346-AA06132AC67E}">
            <x14:dataBar minLength="0" maxLength="100" gradient="0">
              <x14:cfvo type="num">
                <xm:f>0</xm:f>
              </x14:cfvo>
              <x14:cfvo type="num">
                <xm:f>1</xm:f>
              </x14:cfvo>
              <x14:negativeFillColor rgb="FFFF0000"/>
              <x14:axisColor rgb="FF000000"/>
            </x14:dataBar>
          </x14:cfRule>
          <xm:sqref>C35</xm:sqref>
        </x14:conditionalFormatting>
        <x14:conditionalFormatting xmlns:xm="http://schemas.microsoft.com/office/excel/2006/main">
          <x14:cfRule type="dataBar" id="{E2CA88DF-475B-4FC7-99CA-88CDCCCD4482}">
            <x14:dataBar minLength="0" maxLength="100" gradient="0">
              <x14:cfvo type="num">
                <xm:f>0</xm:f>
              </x14:cfvo>
              <x14:cfvo type="num">
                <xm:f>1</xm:f>
              </x14:cfvo>
              <x14:negativeFillColor rgb="FFFF0000"/>
              <x14:axisColor rgb="FF000000"/>
            </x14:dataBar>
          </x14:cfRule>
          <xm:sqref>C36:C37</xm:sqref>
        </x14:conditionalFormatting>
        <x14:conditionalFormatting xmlns:xm="http://schemas.microsoft.com/office/excel/2006/main">
          <x14:cfRule type="dataBar" id="{4ED1946A-A154-462A-A87D-D79F025604AA}">
            <x14:dataBar minLength="0" maxLength="100" gradient="0">
              <x14:cfvo type="num">
                <xm:f>0</xm:f>
              </x14:cfvo>
              <x14:cfvo type="num">
                <xm:f>1</xm:f>
              </x14:cfvo>
              <x14:negativeFillColor rgb="FFFF0000"/>
              <x14:axisColor rgb="FF000000"/>
            </x14:dataBar>
          </x14:cfRule>
          <xm:sqref>C38</xm:sqref>
        </x14:conditionalFormatting>
        <x14:conditionalFormatting xmlns:xm="http://schemas.microsoft.com/office/excel/2006/main">
          <x14:cfRule type="dataBar" id="{6E5E221A-0253-49D0-A0AD-388426FED34C}">
            <x14:dataBar minLength="0" maxLength="100" gradient="0">
              <x14:cfvo type="num">
                <xm:f>0</xm:f>
              </x14:cfvo>
              <x14:cfvo type="num">
                <xm:f>1</xm:f>
              </x14:cfvo>
              <x14:negativeFillColor rgb="FFFF0000"/>
              <x14:axisColor rgb="FF000000"/>
            </x14:dataBar>
          </x14:cfRule>
          <xm:sqref>C39:C40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ECA3CFA3-ED2C-45B1-9F5D-834870D05996}">
          <x14:formula1>
            <xm:f>Team!$C$3:$C$149</xm:f>
          </x14:formula1>
          <xm:sqref>C39:C40 C36:C37 C21:C34 C8:C19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D827DE-EC28-4B38-9CCB-A72D24E8F3C9}">
  <sheetPr codeName="Hoja1"/>
  <dimension ref="A1:F53"/>
  <sheetViews>
    <sheetView workbookViewId="0">
      <selection activeCell="D19" sqref="D19"/>
    </sheetView>
  </sheetViews>
  <sheetFormatPr baseColWidth="10" defaultColWidth="11.42578125" defaultRowHeight="15" x14ac:dyDescent="0.25"/>
  <cols>
    <col min="1" max="1" width="31.7109375" customWidth="1"/>
    <col min="2" max="2" width="40.7109375" customWidth="1"/>
    <col min="3" max="3" width="9.28515625" style="60" customWidth="1"/>
    <col min="4" max="4" width="29" customWidth="1"/>
    <col min="5" max="5" width="72.7109375" customWidth="1"/>
  </cols>
  <sheetData>
    <row r="1" spans="1:6" ht="15.75" thickBot="1" x14ac:dyDescent="0.3">
      <c r="A1" s="64" t="s">
        <v>24</v>
      </c>
      <c r="B1" s="64" t="s">
        <v>25</v>
      </c>
      <c r="C1" s="64" t="s">
        <v>26</v>
      </c>
      <c r="D1" s="64" t="s">
        <v>27</v>
      </c>
      <c r="E1" s="64" t="s">
        <v>28</v>
      </c>
    </row>
    <row r="2" spans="1:6" ht="15.75" thickBot="1" x14ac:dyDescent="0.3">
      <c r="A2" s="17" t="s">
        <v>29</v>
      </c>
    </row>
    <row r="3" spans="1:6" ht="15.75" customHeight="1" thickBot="1" x14ac:dyDescent="0.3">
      <c r="A3" s="34" t="s">
        <v>30</v>
      </c>
      <c r="B3" t="s">
        <v>31</v>
      </c>
      <c r="C3" s="63" t="s">
        <v>32</v>
      </c>
      <c r="D3" s="61" t="s">
        <v>33</v>
      </c>
      <c r="E3" s="62" t="s">
        <v>34</v>
      </c>
      <c r="F3" t="s">
        <v>35</v>
      </c>
    </row>
    <row r="4" spans="1:6" ht="13.5" customHeight="1" thickBot="1" x14ac:dyDescent="0.3">
      <c r="A4" s="34" t="s">
        <v>36</v>
      </c>
      <c r="B4" t="s">
        <v>37</v>
      </c>
      <c r="C4" s="63" t="s">
        <v>38</v>
      </c>
      <c r="D4" s="61" t="s">
        <v>39</v>
      </c>
      <c r="E4" s="62" t="s">
        <v>40</v>
      </c>
    </row>
    <row r="5" spans="1:6" ht="14.25" customHeight="1" thickBot="1" x14ac:dyDescent="0.3">
      <c r="A5" s="34" t="s">
        <v>41</v>
      </c>
      <c r="B5" t="s">
        <v>89</v>
      </c>
      <c r="C5" s="63" t="s">
        <v>90</v>
      </c>
      <c r="D5" s="61" t="s">
        <v>42</v>
      </c>
      <c r="E5" s="62" t="s">
        <v>43</v>
      </c>
    </row>
    <row r="6" spans="1:6" ht="15.75" customHeight="1" thickBot="1" x14ac:dyDescent="0.3">
      <c r="A6" s="34" t="s">
        <v>44</v>
      </c>
      <c r="B6" t="s">
        <v>91</v>
      </c>
      <c r="C6" s="63" t="s">
        <v>92</v>
      </c>
      <c r="D6" s="61" t="s">
        <v>45</v>
      </c>
      <c r="E6" s="62" t="s">
        <v>46</v>
      </c>
    </row>
    <row r="7" spans="1:6" ht="16.5" customHeight="1" thickBot="1" x14ac:dyDescent="0.3">
      <c r="A7" s="34" t="s">
        <v>47</v>
      </c>
      <c r="B7" t="s">
        <v>93</v>
      </c>
      <c r="C7" s="63" t="s">
        <v>94</v>
      </c>
      <c r="D7" s="61" t="s">
        <v>48</v>
      </c>
      <c r="E7" s="62" t="s">
        <v>49</v>
      </c>
    </row>
    <row r="8" spans="1:6" ht="15.75" customHeight="1" thickBot="1" x14ac:dyDescent="0.3">
      <c r="A8" s="34" t="s">
        <v>50</v>
      </c>
      <c r="B8" t="s">
        <v>95</v>
      </c>
      <c r="C8" s="63" t="s">
        <v>96</v>
      </c>
      <c r="D8" s="61" t="s">
        <v>51</v>
      </c>
      <c r="E8" s="62" t="s">
        <v>52</v>
      </c>
    </row>
    <row r="9" spans="1:6" ht="15" customHeight="1" thickBot="1" x14ac:dyDescent="0.3">
      <c r="A9" s="34" t="s">
        <v>53</v>
      </c>
      <c r="B9" t="s">
        <v>97</v>
      </c>
      <c r="C9" s="63" t="s">
        <v>98</v>
      </c>
      <c r="D9" s="61" t="s">
        <v>54</v>
      </c>
      <c r="E9" s="62" t="s">
        <v>55</v>
      </c>
    </row>
    <row r="10" spans="1:6" ht="15.75" customHeight="1" thickBot="1" x14ac:dyDescent="0.3">
      <c r="A10" s="34" t="s">
        <v>56</v>
      </c>
      <c r="B10" t="s">
        <v>99</v>
      </c>
      <c r="C10" s="63" t="s">
        <v>100</v>
      </c>
      <c r="D10" s="61" t="s">
        <v>57</v>
      </c>
      <c r="E10" s="62" t="s">
        <v>58</v>
      </c>
    </row>
    <row r="11" spans="1:6" ht="15.75" customHeight="1" thickBot="1" x14ac:dyDescent="0.3">
      <c r="A11" s="34" t="s">
        <v>59</v>
      </c>
      <c r="B11" t="s">
        <v>101</v>
      </c>
      <c r="C11" s="63" t="s">
        <v>102</v>
      </c>
      <c r="D11" s="61" t="s">
        <v>60</v>
      </c>
      <c r="E11" s="62" t="s">
        <v>61</v>
      </c>
    </row>
    <row r="12" spans="1:6" ht="13.5" customHeight="1" thickBot="1" x14ac:dyDescent="0.3">
      <c r="A12" s="34" t="s">
        <v>62</v>
      </c>
      <c r="B12" t="s">
        <v>103</v>
      </c>
      <c r="C12" s="63" t="s">
        <v>104</v>
      </c>
      <c r="D12" s="61" t="s">
        <v>63</v>
      </c>
      <c r="E12" s="62" t="s">
        <v>64</v>
      </c>
    </row>
    <row r="13" spans="1:6" ht="14.25" customHeight="1" thickBot="1" x14ac:dyDescent="0.3">
      <c r="A13" s="34" t="s">
        <v>65</v>
      </c>
      <c r="B13" t="s">
        <v>105</v>
      </c>
      <c r="C13" s="63" t="s">
        <v>106</v>
      </c>
      <c r="D13" s="61" t="s">
        <v>66</v>
      </c>
      <c r="E13" s="62" t="s">
        <v>67</v>
      </c>
    </row>
    <row r="14" spans="1:6" ht="15.75" customHeight="1" thickBot="1" x14ac:dyDescent="0.3">
      <c r="A14" s="34" t="s">
        <v>68</v>
      </c>
      <c r="B14" t="s">
        <v>105</v>
      </c>
      <c r="C14" s="63" t="s">
        <v>106</v>
      </c>
      <c r="D14" s="61" t="s">
        <v>69</v>
      </c>
      <c r="E14" s="62" t="s">
        <v>70</v>
      </c>
    </row>
    <row r="15" spans="1:6" ht="15.75" thickBot="1" x14ac:dyDescent="0.3">
      <c r="A15" s="34"/>
      <c r="C15" s="63"/>
      <c r="D15" s="61"/>
      <c r="E15" s="61"/>
    </row>
    <row r="16" spans="1:6" ht="15.75" thickBot="1" x14ac:dyDescent="0.3">
      <c r="A16" s="34"/>
      <c r="C16" s="63"/>
      <c r="D16" s="61"/>
      <c r="E16" s="61"/>
    </row>
    <row r="17" spans="1:6" ht="15.75" thickBot="1" x14ac:dyDescent="0.3">
      <c r="A17" s="34"/>
      <c r="C17" s="63"/>
      <c r="D17" s="61"/>
      <c r="E17" s="61"/>
    </row>
    <row r="18" spans="1:6" ht="15.75" thickBot="1" x14ac:dyDescent="0.3">
      <c r="A18" s="34"/>
      <c r="C18" s="63"/>
      <c r="D18" s="61"/>
      <c r="E18" s="61"/>
    </row>
    <row r="19" spans="1:6" ht="15.75" thickBot="1" x14ac:dyDescent="0.3">
      <c r="C19" s="63"/>
      <c r="D19" s="61"/>
      <c r="E19" s="61"/>
    </row>
    <row r="20" spans="1:6" ht="15.75" thickBot="1" x14ac:dyDescent="0.3">
      <c r="A20" s="17" t="s">
        <v>71</v>
      </c>
      <c r="C20" s="63"/>
      <c r="D20" s="61"/>
      <c r="E20" s="61"/>
    </row>
    <row r="21" spans="1:6" ht="15.75" thickBot="1" x14ac:dyDescent="0.3">
      <c r="A21" s="37" t="s">
        <v>72</v>
      </c>
      <c r="B21" t="s">
        <v>107</v>
      </c>
      <c r="C21" s="63" t="s">
        <v>108</v>
      </c>
      <c r="D21" s="61" t="s">
        <v>73</v>
      </c>
      <c r="E21" s="61" t="s">
        <v>74</v>
      </c>
      <c r="F21" t="s">
        <v>35</v>
      </c>
    </row>
    <row r="22" spans="1:6" ht="15.75" thickBot="1" x14ac:dyDescent="0.3">
      <c r="A22" s="37" t="s">
        <v>75</v>
      </c>
      <c r="B22" t="s">
        <v>109</v>
      </c>
      <c r="C22" s="63" t="s">
        <v>110</v>
      </c>
      <c r="D22" s="61" t="s">
        <v>73</v>
      </c>
      <c r="E22" s="61" t="s">
        <v>74</v>
      </c>
      <c r="F22" t="s">
        <v>35</v>
      </c>
    </row>
    <row r="23" spans="1:6" ht="15.75" thickBot="1" x14ac:dyDescent="0.3">
      <c r="A23" s="37" t="s">
        <v>76</v>
      </c>
      <c r="B23" t="s">
        <v>111</v>
      </c>
      <c r="C23" s="63" t="s">
        <v>112</v>
      </c>
      <c r="D23" s="61" t="s">
        <v>73</v>
      </c>
      <c r="E23" s="61" t="s">
        <v>74</v>
      </c>
      <c r="F23" t="s">
        <v>35</v>
      </c>
    </row>
    <row r="24" spans="1:6" ht="15.75" thickBot="1" x14ac:dyDescent="0.3">
      <c r="A24" s="37" t="s">
        <v>77</v>
      </c>
      <c r="B24" t="s">
        <v>113</v>
      </c>
      <c r="C24" s="63" t="s">
        <v>114</v>
      </c>
      <c r="D24" s="61" t="s">
        <v>73</v>
      </c>
      <c r="E24" s="61" t="s">
        <v>74</v>
      </c>
      <c r="F24" t="s">
        <v>35</v>
      </c>
    </row>
    <row r="25" spans="1:6" ht="15.75" thickBot="1" x14ac:dyDescent="0.3">
      <c r="A25" s="37" t="s">
        <v>78</v>
      </c>
      <c r="B25" t="s">
        <v>115</v>
      </c>
      <c r="C25" s="63" t="s">
        <v>116</v>
      </c>
      <c r="D25" s="61" t="s">
        <v>73</v>
      </c>
      <c r="E25" s="61" t="s">
        <v>74</v>
      </c>
      <c r="F25" t="s">
        <v>35</v>
      </c>
    </row>
    <row r="26" spans="1:6" ht="15.75" customHeight="1" thickBot="1" x14ac:dyDescent="0.3">
      <c r="A26" s="37" t="s">
        <v>79</v>
      </c>
      <c r="B26" t="s">
        <v>111</v>
      </c>
      <c r="C26" s="63" t="s">
        <v>112</v>
      </c>
      <c r="D26" s="61" t="s">
        <v>80</v>
      </c>
      <c r="E26" s="62" t="s">
        <v>35</v>
      </c>
    </row>
    <row r="27" spans="1:6" ht="15.75" thickBot="1" x14ac:dyDescent="0.3">
      <c r="A27" s="37" t="s">
        <v>81</v>
      </c>
      <c r="B27" t="s">
        <v>89</v>
      </c>
      <c r="C27" s="63" t="s">
        <v>90</v>
      </c>
      <c r="D27" s="61" t="s">
        <v>82</v>
      </c>
      <c r="E27" s="61" t="s">
        <v>83</v>
      </c>
      <c r="F27" t="s">
        <v>35</v>
      </c>
    </row>
    <row r="28" spans="1:6" ht="15.75" thickBot="1" x14ac:dyDescent="0.3">
      <c r="A28" s="37" t="s">
        <v>84</v>
      </c>
      <c r="B28" t="s">
        <v>91</v>
      </c>
      <c r="C28" s="63" t="s">
        <v>92</v>
      </c>
      <c r="D28" s="61" t="s">
        <v>82</v>
      </c>
      <c r="E28" s="61" t="s">
        <v>83</v>
      </c>
      <c r="F28" t="s">
        <v>35</v>
      </c>
    </row>
    <row r="29" spans="1:6" ht="15.75" thickBot="1" x14ac:dyDescent="0.3">
      <c r="A29" s="37" t="s">
        <v>85</v>
      </c>
      <c r="B29" t="s">
        <v>105</v>
      </c>
      <c r="C29" s="63" t="s">
        <v>106</v>
      </c>
      <c r="D29" s="61" t="s">
        <v>82</v>
      </c>
      <c r="E29" s="61" t="s">
        <v>83</v>
      </c>
      <c r="F29" t="s">
        <v>35</v>
      </c>
    </row>
    <row r="30" spans="1:6" ht="15.75" thickBot="1" x14ac:dyDescent="0.3">
      <c r="A30" s="37" t="s">
        <v>86</v>
      </c>
      <c r="B30" t="s">
        <v>117</v>
      </c>
      <c r="C30" s="63" t="s">
        <v>118</v>
      </c>
      <c r="D30" s="61" t="s">
        <v>82</v>
      </c>
      <c r="E30" s="61" t="s">
        <v>83</v>
      </c>
      <c r="F30" t="s">
        <v>35</v>
      </c>
    </row>
    <row r="31" spans="1:6" ht="15.75" thickBot="1" x14ac:dyDescent="0.3">
      <c r="A31" s="37" t="s">
        <v>87</v>
      </c>
      <c r="B31" t="s">
        <v>119</v>
      </c>
      <c r="C31" s="63" t="s">
        <v>120</v>
      </c>
      <c r="D31" s="61" t="s">
        <v>82</v>
      </c>
      <c r="E31" s="61" t="s">
        <v>83</v>
      </c>
      <c r="F31" t="s">
        <v>35</v>
      </c>
    </row>
    <row r="32" spans="1:6" ht="15.75" thickBot="1" x14ac:dyDescent="0.3">
      <c r="A32" s="37" t="s">
        <v>88</v>
      </c>
      <c r="B32" t="s">
        <v>121</v>
      </c>
      <c r="C32" s="63" t="s">
        <v>122</v>
      </c>
      <c r="D32" s="61" t="s">
        <v>82</v>
      </c>
      <c r="E32" s="61" t="s">
        <v>83</v>
      </c>
      <c r="F32" t="s">
        <v>35</v>
      </c>
    </row>
    <row r="33" spans="3:5" x14ac:dyDescent="0.25">
      <c r="C33" s="63"/>
      <c r="D33" s="61"/>
      <c r="E33" s="61"/>
    </row>
    <row r="34" spans="3:5" x14ac:dyDescent="0.25">
      <c r="C34" s="63"/>
      <c r="D34" s="61"/>
      <c r="E34" s="61"/>
    </row>
    <row r="35" spans="3:5" x14ac:dyDescent="0.25">
      <c r="C35" s="63"/>
      <c r="D35" s="61"/>
      <c r="E35" s="61"/>
    </row>
    <row r="36" spans="3:5" x14ac:dyDescent="0.25">
      <c r="C36" s="63"/>
      <c r="D36" s="61"/>
      <c r="E36" s="61"/>
    </row>
    <row r="37" spans="3:5" x14ac:dyDescent="0.25">
      <c r="C37" s="63"/>
      <c r="D37" s="61"/>
      <c r="E37" s="61"/>
    </row>
    <row r="38" spans="3:5" x14ac:dyDescent="0.25">
      <c r="C38" s="63"/>
      <c r="D38" s="61"/>
      <c r="E38" s="61"/>
    </row>
    <row r="39" spans="3:5" x14ac:dyDescent="0.25">
      <c r="C39" s="63"/>
      <c r="D39" s="61"/>
      <c r="E39" s="61"/>
    </row>
    <row r="40" spans="3:5" x14ac:dyDescent="0.25">
      <c r="C40" s="63"/>
      <c r="D40" s="61"/>
      <c r="E40" s="61"/>
    </row>
    <row r="41" spans="3:5" x14ac:dyDescent="0.25">
      <c r="C41" s="63"/>
      <c r="D41" s="61"/>
      <c r="E41" s="61"/>
    </row>
    <row r="42" spans="3:5" x14ac:dyDescent="0.25">
      <c r="C42" s="63"/>
      <c r="D42" s="61"/>
      <c r="E42" s="61"/>
    </row>
    <row r="43" spans="3:5" x14ac:dyDescent="0.25">
      <c r="C43" s="63"/>
      <c r="D43" s="61"/>
      <c r="E43" s="61"/>
    </row>
    <row r="44" spans="3:5" x14ac:dyDescent="0.25">
      <c r="C44" s="63"/>
      <c r="D44" s="61"/>
      <c r="E44" s="61"/>
    </row>
    <row r="45" spans="3:5" x14ac:dyDescent="0.25">
      <c r="C45" s="63"/>
      <c r="D45" s="61"/>
      <c r="E45" s="61"/>
    </row>
    <row r="46" spans="3:5" x14ac:dyDescent="0.25">
      <c r="D46" s="61"/>
      <c r="E46" s="61"/>
    </row>
    <row r="47" spans="3:5" x14ac:dyDescent="0.25">
      <c r="D47" s="61"/>
      <c r="E47" s="61"/>
    </row>
    <row r="48" spans="3:5" x14ac:dyDescent="0.25">
      <c r="D48" s="61"/>
      <c r="E48" s="61"/>
    </row>
    <row r="49" spans="4:5" x14ac:dyDescent="0.25">
      <c r="D49" s="61"/>
      <c r="E49" s="61"/>
    </row>
    <row r="50" spans="4:5" x14ac:dyDescent="0.25">
      <c r="D50" s="61"/>
      <c r="E50" s="61"/>
    </row>
    <row r="51" spans="4:5" x14ac:dyDescent="0.25">
      <c r="D51" s="61"/>
      <c r="E51" s="61"/>
    </row>
    <row r="52" spans="4:5" x14ac:dyDescent="0.25">
      <c r="D52" s="61"/>
      <c r="E52" s="61"/>
    </row>
    <row r="53" spans="4:5" x14ac:dyDescent="0.25">
      <c r="D53" s="61"/>
      <c r="E53" s="61"/>
    </row>
  </sheetData>
  <phoneticPr fontId="32" type="noConversion"/>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Image xmlns="71af3243-3dd4-4a8d-8c0d-dd76da1f02a5">
      <Url xsi:nil="true"/>
      <Description xsi:nil="true"/>
    </Image>
    <Status xmlns="71af3243-3dd4-4a8d-8c0d-dd76da1f02a5">Not started</Status>
    <Background xmlns="71af3243-3dd4-4a8d-8c0d-dd76da1f02a5">false</Background>
    <_ip_UnifiedCompliancePolicyProperties xmlns="http://schemas.microsoft.com/sharepoint/v3" xsi:nil="true"/>
    <ImageTagsTaxHTField xmlns="71af3243-3dd4-4a8d-8c0d-dd76da1f02a5">
      <Terms xmlns="http://schemas.microsoft.com/office/infopath/2007/PartnerControls"/>
    </ImageTagsTaxHTField>
    <TaxCatchAll xmlns="230e9df3-be65-4c73-a93b-d1236ebd677e" xsi:nil="true"/>
    <MediaServiceKeyPoints xmlns="71af3243-3dd4-4a8d-8c0d-dd76da1f02a5"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79F111ED35F8CC479449609E8A0923A6" ma:contentTypeVersion="24" ma:contentTypeDescription="Create a new document." ma:contentTypeScope="" ma:versionID="2d714a3296df14eba7a100bb665443ca">
  <xsd:schema xmlns:xsd="http://www.w3.org/2001/XMLSchema" xmlns:xs="http://www.w3.org/2001/XMLSchema" xmlns:p="http://schemas.microsoft.com/office/2006/metadata/properties" xmlns:ns1="http://schemas.microsoft.com/sharepoint/v3" xmlns:ns2="71af3243-3dd4-4a8d-8c0d-dd76da1f02a5" xmlns:ns3="16c05727-aa75-4e4a-9b5f-8a80a1165891" xmlns:ns4="230e9df3-be65-4c73-a93b-d1236ebd677e" targetNamespace="http://schemas.microsoft.com/office/2006/metadata/properties" ma:root="true" ma:fieldsID="49549bf45bfbbfb6cffed527380e77e1" ns1:_="" ns2:_="" ns3:_="" ns4:_="">
    <xsd:import namespace="http://schemas.microsoft.com/sharepoint/v3"/>
    <xsd:import namespace="71af3243-3dd4-4a8d-8c0d-dd76da1f02a5"/>
    <xsd:import namespace="16c05727-aa75-4e4a-9b5f-8a80a1165891"/>
    <xsd:import namespace="230e9df3-be65-4c73-a93b-d1236ebd677e"/>
    <xsd:element name="properties">
      <xsd:complexType>
        <xsd:sequence>
          <xsd:element name="documentManagement">
            <xsd:complexType>
              <xsd:all>
                <xsd:element ref="ns2:Status" minOccurs="0"/>
                <xsd:element ref="ns2:Image" minOccurs="0"/>
                <xsd:element ref="ns2:MediaServiceMetadata" minOccurs="0"/>
                <xsd:element ref="ns2:MediaServiceFastMetadata" minOccurs="0"/>
                <xsd:element ref="ns2:MediaServiceOCR" minOccurs="0"/>
                <xsd:element ref="ns2:MediaServiceAutoTags" minOccurs="0"/>
                <xsd:element ref="ns2:MediaServiceEventHashCode" minOccurs="0"/>
                <xsd:element ref="ns2:MediaServiceGenerationTime" minOccurs="0"/>
                <xsd:element ref="ns3:SharedWithUsers" minOccurs="0"/>
                <xsd:element ref="ns3:SharedWithDetails" minOccurs="0"/>
                <xsd:element ref="ns2:MediaServiceAutoKeyPoints" minOccurs="0"/>
                <xsd:element ref="ns2:MediaServiceKeyPoints" minOccurs="0"/>
                <xsd:element ref="ns2:MediaServiceDateTaken" minOccurs="0"/>
                <xsd:element ref="ns1:_ip_UnifiedCompliancePolicyProperties" minOccurs="0"/>
                <xsd:element ref="ns1:_ip_UnifiedCompliancePolicyUIAction" minOccurs="0"/>
                <xsd:element ref="ns4:TaxCatchAll" minOccurs="0"/>
                <xsd:element ref="ns2:ImageTagsTaxHTField" minOccurs="0"/>
                <xsd:element ref="ns2:MediaServiceLocation" minOccurs="0"/>
                <xsd:element ref="ns2:MediaLengthInSeconds" minOccurs="0"/>
                <xsd:element ref="ns2:Backgroun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0" nillable="true" ma:displayName="Unified Compliance Policy Properties" ma:hidden="true" ma:internalName="_ip_UnifiedCompliancePolicyProperties" ma:readOnly="false">
      <xsd:simpleType>
        <xsd:restriction base="dms:Note"/>
      </xsd:simpleType>
    </xsd:element>
    <xsd:element name="_ip_UnifiedCompliancePolicyUIAction" ma:index="21" nillable="true" ma:displayName="Unified Compliance Policy UI Action" ma:hidden="true" ma:internalName="_ip_UnifiedCompliancePolicyUIAction" ma:readOnly="fals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1af3243-3dd4-4a8d-8c0d-dd76da1f02a5" elementFormDefault="qualified">
    <xsd:import namespace="http://schemas.microsoft.com/office/2006/documentManagement/types"/>
    <xsd:import namespace="http://schemas.microsoft.com/office/infopath/2007/PartnerControls"/>
    <xsd:element name="Status" ma:index="2" nillable="true" ma:displayName="Status" ma:default="Not started" ma:format="Dropdown" ma:internalName="Status" ma:readOnly="false">
      <xsd:simpleType>
        <xsd:restriction base="dms:Choice">
          <xsd:enumeration value="Not started"/>
          <xsd:enumeration value="In Progress"/>
          <xsd:enumeration value="Completed"/>
        </xsd:restriction>
      </xsd:simpleType>
    </xsd:element>
    <xsd:element name="Image" ma:index="3" nillable="true" ma:displayName="Image" ma:format="Image" ma:internalName="Image" ma:readOnly="false">
      <xsd:complexType>
        <xsd:complexContent>
          <xsd:extension base="dms:URL">
            <xsd:sequence>
              <xsd:element name="Url" type="dms:ValidUrl" minOccurs="0" nillable="true"/>
              <xsd:element name="Description" type="xsd:string" nillable="true"/>
            </xsd:sequence>
          </xsd:extension>
        </xsd:complexContent>
      </xsd:complexType>
    </xsd:element>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MediaServiceOCR" ma:hidden="true" ma:internalName="MediaServiceOCR" ma:readOnly="true">
      <xsd:simpleType>
        <xsd:restriction base="dms:Note"/>
      </xsd:simpleType>
    </xsd:element>
    <xsd:element name="MediaServiceAutoTags" ma:index="11" nillable="true" ma:displayName="MediaServiceAutoTags" ma:hidden="true" ma:internalName="MediaServiceAutoTags"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hidden="true" ma:internalName="MediaServiceKeyPoints" ma:readOnly="false">
      <xsd:simpleType>
        <xsd:restriction base="dms:Note"/>
      </xsd:simpleType>
    </xsd:element>
    <xsd:element name="MediaServiceDateTaken" ma:index="18" nillable="true" ma:displayName="MediaServiceDateTaken" ma:hidden="true" ma:internalName="MediaServiceDateTaken" ma:readOnly="true">
      <xsd:simpleType>
        <xsd:restriction base="dms:Text"/>
      </xsd:simpleType>
    </xsd:element>
    <xsd:element name="ImageTagsTaxHTField" ma:index="25" nillable="true" ma:taxonomy="true" ma:internalName="ImageTagsTaxHTField" ma:taxonomyFieldName="MediaServiceImageTags" ma:displayName="Image Tags" ma:readOnly="false" ma:fieldId="{5cf76f15-5ced-4ddc-b409-7134ff3c332f}" ma:taxonomyMulti="true" ma:sspId="e385fb40-52d4-4fae-9c5b-3e8ff8a5878e" ma:termSetId="09814cd3-568e-fe90-9814-8d621ff8fb84" ma:anchorId="fba54fb3-c3e1-fe81-a776-ca4b69148c4d" ma:open="true" ma:isKeyword="false">
      <xsd:complexType>
        <xsd:sequence>
          <xsd:element ref="pc:Terms" minOccurs="0" maxOccurs="1"/>
        </xsd:sequence>
      </xsd:complexType>
    </xsd:element>
    <xsd:element name="MediaServiceLocation" ma:index="26" nillable="true" ma:displayName="Location" ma:hidden="true" ma:internalName="MediaServiceLocation" ma:readOnly="true">
      <xsd:simpleType>
        <xsd:restriction base="dms:Text"/>
      </xsd:simpleType>
    </xsd:element>
    <xsd:element name="MediaLengthInSeconds" ma:index="27" nillable="true" ma:displayName="MediaLengthInSeconds" ma:hidden="true" ma:internalName="MediaLengthInSeconds" ma:readOnly="true">
      <xsd:simpleType>
        <xsd:restriction base="dms:Unknown"/>
      </xsd:simpleType>
    </xsd:element>
    <xsd:element name="Background" ma:index="28" nillable="true" ma:displayName="Background" ma:default="0" ma:format="Dropdown" ma:internalName="Background">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6c05727-aa75-4e4a-9b5f-8a80a1165891" elementFormDefault="qualified">
    <xsd:import namespace="http://schemas.microsoft.com/office/2006/documentManagement/types"/>
    <xsd:import namespace="http://schemas.microsoft.com/office/infopath/2007/PartnerControls"/>
    <xsd:element name="SharedWithUsers" ma:index="14" nillable="true" ma:displayName="Shared With"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hidden="true" ma:internalName="SharedWithDetail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3f6bfcbc-3db3-4ae6-bd76-326f0798ad28}" ma:internalName="TaxCatchAll" ma:readOnly="false" ma:showField="CatchAllData" ma:web="16c05727-aa75-4e4a-9b5f-8a80a116589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144944C-1F1D-4162-962A-96F3FC8455D8}">
  <ds:schemaRefs>
    <ds:schemaRef ds:uri="http://schemas.microsoft.com/office/2006/metadata/properties"/>
    <ds:schemaRef ds:uri="http://schemas.microsoft.com/office/infopath/2007/PartnerControls"/>
    <ds:schemaRef ds:uri="http://schemas.microsoft.com/sharepoint/v3"/>
    <ds:schemaRef ds:uri="71af3243-3dd4-4a8d-8c0d-dd76da1f02a5"/>
    <ds:schemaRef ds:uri="230e9df3-be65-4c73-a93b-d1236ebd677e"/>
  </ds:schemaRefs>
</ds:datastoreItem>
</file>

<file path=customXml/itemProps2.xml><?xml version="1.0" encoding="utf-8"?>
<ds:datastoreItem xmlns:ds="http://schemas.openxmlformats.org/officeDocument/2006/customXml" ds:itemID="{708DBB9E-6D89-4A94-9DC5-964B7833E11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1af3243-3dd4-4a8d-8c0d-dd76da1f02a5"/>
    <ds:schemaRef ds:uri="16c05727-aa75-4e4a-9b5f-8a80a1165891"/>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FE8ED85-58B3-4608-8E91-0433556D50C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emplate>TM16400962</Template>
  <Application>Microsoft Excel</Application>
  <DocSecurity>0</DocSecurity>
  <ScaleCrop>false</ScaleCrop>
  <HeadingPairs>
    <vt:vector size="4" baseType="variant">
      <vt:variant>
        <vt:lpstr>Hojas de cálculo</vt:lpstr>
      </vt:variant>
      <vt:variant>
        <vt:i4>2</vt:i4>
      </vt:variant>
      <vt:variant>
        <vt:lpstr>Rangos con nombre</vt:lpstr>
      </vt:variant>
      <vt:variant>
        <vt:i4>6</vt:i4>
      </vt:variant>
    </vt:vector>
  </HeadingPairs>
  <TitlesOfParts>
    <vt:vector size="8" baseType="lpstr">
      <vt:lpstr>ProjectSchedule</vt:lpstr>
      <vt:lpstr>Team</vt:lpstr>
      <vt:lpstr>Inicio_del_proyecto</vt:lpstr>
      <vt:lpstr>Semana_para_mostrar</vt:lpstr>
      <vt:lpstr>ProjectSchedule!task_end</vt:lpstr>
      <vt:lpstr>ProjectSchedule!task_progress</vt:lpstr>
      <vt:lpstr>ProjectSchedule!task_start</vt:lpstr>
      <vt:lpstr>ProjectSchedule!Títulos_a_imprimir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2023-02-16T08:44:11Z</dcterms:created>
  <dcterms:modified xsi:type="dcterms:W3CDTF">2023-03-09T09:11:36Z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0x01010079F111ED35F8CC479449609E8A0923A6</vt:lpwstr>
  </property>
</Properties>
</file>